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kamacdonell/Git/MIT_NavigaTE_inputs/input_fuel_pathway_data/"/>
    </mc:Choice>
  </mc:AlternateContent>
  <xr:revisionPtr revIDLastSave="0" documentId="8_{957DE7BB-1937-AC46-9971-9D56B6EDCD06}" xr6:coauthVersionLast="47" xr6:coauthVersionMax="47" xr10:uidLastSave="{00000000-0000-0000-0000-000000000000}"/>
  <bookViews>
    <workbookView xWindow="0" yWindow="500" windowWidth="28800" windowHeight="16040" activeTab="4" xr2:uid="{D5D17A8F-A581-A048-9DF6-FD913CF6ED0D}"/>
  </bookViews>
  <sheets>
    <sheet name="South Africa" sheetId="2" r:id="rId1"/>
    <sheet name="Hungary" sheetId="3" r:id="rId2"/>
    <sheet name="Norway" sheetId="6" r:id="rId3"/>
    <sheet name="Saudi Arabia" sheetId="7" r:id="rId4"/>
    <sheet name="Greece" sheetId="5" r:id="rId5"/>
    <sheet name="Philippines" sheetId="4" r:id="rId6"/>
    <sheet name="Indonesia" sheetId="8" r:id="rId7"/>
    <sheet name="China" sheetId="9" r:id="rId8"/>
    <sheet name="Australia" sheetId="10" r:id="rId9"/>
    <sheet name="Thailand" sheetId="11" r:id="rId10"/>
    <sheet name="Rest of World" sheetId="1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1" l="1"/>
  <c r="I13" i="11"/>
  <c r="I12" i="11"/>
  <c r="I11" i="11"/>
  <c r="I10" i="11"/>
  <c r="I9" i="11"/>
  <c r="I8" i="11"/>
  <c r="I7" i="11"/>
  <c r="I6" i="11"/>
  <c r="I5" i="11"/>
  <c r="I4" i="11"/>
  <c r="I3" i="11"/>
  <c r="I2" i="11"/>
  <c r="I14" i="10"/>
  <c r="I13" i="10"/>
  <c r="I12" i="10"/>
  <c r="I11" i="10"/>
  <c r="I10" i="10"/>
  <c r="I9" i="10"/>
  <c r="I8" i="10"/>
  <c r="I7" i="10"/>
  <c r="I6" i="10"/>
  <c r="I5" i="10"/>
  <c r="I4" i="10"/>
  <c r="I3" i="10"/>
  <c r="I2" i="10"/>
  <c r="I14" i="9"/>
  <c r="I13" i="9"/>
  <c r="I12" i="9"/>
  <c r="I11" i="9"/>
  <c r="I10" i="9"/>
  <c r="I9" i="9"/>
  <c r="I8" i="9"/>
  <c r="I7" i="9"/>
  <c r="I6" i="9"/>
  <c r="I5" i="9"/>
  <c r="I4" i="9"/>
  <c r="I3" i="9"/>
  <c r="I2" i="9"/>
  <c r="I14" i="8"/>
  <c r="I13" i="8"/>
  <c r="I12" i="8"/>
  <c r="I11" i="8"/>
  <c r="I10" i="8"/>
  <c r="I9" i="8"/>
  <c r="I8" i="8"/>
  <c r="I7" i="8"/>
  <c r="I6" i="8"/>
  <c r="I5" i="8"/>
  <c r="I4" i="8"/>
  <c r="I3" i="8"/>
  <c r="I2" i="8"/>
  <c r="F2" i="5"/>
  <c r="I14" i="7"/>
  <c r="I13" i="7"/>
  <c r="I12" i="7"/>
  <c r="I11" i="7"/>
  <c r="I10" i="7"/>
  <c r="I9" i="7"/>
  <c r="I8" i="7"/>
  <c r="I7" i="7"/>
  <c r="I6" i="7"/>
  <c r="I5" i="7"/>
  <c r="I4" i="7"/>
  <c r="I3" i="7"/>
  <c r="I2" i="7"/>
  <c r="I14" i="6"/>
  <c r="I13" i="6"/>
  <c r="I12" i="6"/>
  <c r="I11" i="6"/>
  <c r="I10" i="6"/>
  <c r="I9" i="6"/>
  <c r="I8" i="6"/>
  <c r="I7" i="6"/>
  <c r="I6" i="6"/>
  <c r="I5" i="6"/>
  <c r="I4" i="6"/>
  <c r="I3" i="6"/>
  <c r="I2" i="6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3" i="1"/>
  <c r="I15" i="4"/>
  <c r="I3" i="4"/>
  <c r="I4" i="4"/>
  <c r="I5" i="4"/>
  <c r="I6" i="4"/>
  <c r="I7" i="4"/>
  <c r="I8" i="4"/>
  <c r="I9" i="4"/>
  <c r="I10" i="4"/>
  <c r="I11" i="4"/>
  <c r="I12" i="4"/>
  <c r="I13" i="4"/>
  <c r="I14" i="4"/>
  <c r="I2" i="4"/>
  <c r="F2" i="3"/>
  <c r="H2" i="2"/>
  <c r="I15" i="11" l="1"/>
  <c r="I15" i="10"/>
  <c r="I15" i="9"/>
  <c r="I15" i="8"/>
  <c r="I15" i="7"/>
  <c r="I15" i="6"/>
</calcChain>
</file>

<file path=xl/sharedStrings.xml><?xml version="1.0" encoding="utf-8"?>
<sst xmlns="http://schemas.openxmlformats.org/spreadsheetml/2006/main" count="455" uniqueCount="86">
  <si>
    <t>Sept 2024 NG price</t>
  </si>
  <si>
    <t>Units</t>
  </si>
  <si>
    <t>NG price in USD/GJ</t>
  </si>
  <si>
    <t>Country</t>
  </si>
  <si>
    <t>Taiwan</t>
  </si>
  <si>
    <t>Switzerland</t>
  </si>
  <si>
    <t>Singapore</t>
  </si>
  <si>
    <t>Netherlands</t>
  </si>
  <si>
    <t>Italy</t>
  </si>
  <si>
    <t>Austria</t>
  </si>
  <si>
    <t>Finland</t>
  </si>
  <si>
    <t>Portugal</t>
  </si>
  <si>
    <t>Germany</t>
  </si>
  <si>
    <t>France</t>
  </si>
  <si>
    <t>Brazil</t>
  </si>
  <si>
    <t>United Kingdom</t>
  </si>
  <si>
    <t>Spain</t>
  </si>
  <si>
    <t>Sweden</t>
  </si>
  <si>
    <t>Czech Republic</t>
  </si>
  <si>
    <t>Japan</t>
  </si>
  <si>
    <t>Belgium</t>
  </si>
  <si>
    <t>Poland</t>
  </si>
  <si>
    <t>India</t>
  </si>
  <si>
    <t>South Korea</t>
  </si>
  <si>
    <t>United States</t>
  </si>
  <si>
    <t>Turkey</t>
  </si>
  <si>
    <t>Malaysia</t>
  </si>
  <si>
    <t>Canada</t>
  </si>
  <si>
    <t>Mexico</t>
  </si>
  <si>
    <t>Russia</t>
  </si>
  <si>
    <t>Source</t>
  </si>
  <si>
    <t>2023 NG price</t>
  </si>
  <si>
    <t>2023 to 2024 USD</t>
  </si>
  <si>
    <t>2024 USD/GJ</t>
  </si>
  <si>
    <t>https://www.exchange-rates.org/exchange-rate-history/zar-usd-2023</t>
  </si>
  <si>
    <t>https://data.bls.gov/cgi-bin/cpicalc.pl?cost1=100.00&amp;year1=202301&amp;year2=202401</t>
  </si>
  <si>
    <t>ZAR/GJ</t>
  </si>
  <si>
    <t>USD/ZAR</t>
  </si>
  <si>
    <t>https://www.dmre.gov.za/Portals/0/Energy_Website/files/media/explained/Energy-Price-Report-2023.pdf</t>
  </si>
  <si>
    <t>Natural gas price in the second half of 2024</t>
  </si>
  <si>
    <t>euros/kWh</t>
  </si>
  <si>
    <t>https://ec.europa.eu/eurostat/statistics-explained/index.php?title=File:F5Natural_gas_prices_for_non-household_consumers,_second_half_2024_.png</t>
  </si>
  <si>
    <t>USD/EUR</t>
  </si>
  <si>
    <t>kWh/GJ</t>
  </si>
  <si>
    <t>NG price (2024 USD / GJ)</t>
  </si>
  <si>
    <t>Period</t>
  </si>
  <si>
    <t>NG price</t>
  </si>
  <si>
    <t>USD per PHP</t>
  </si>
  <si>
    <t>PHP/MMBtu</t>
  </si>
  <si>
    <t>https://www.intratec.us/solutions/energy-prices-markets/commodity/natural-gas-price-philippines</t>
  </si>
  <si>
    <t>https://www.exchange-rates.org/exchange-rate-history/php-usd-2022</t>
  </si>
  <si>
    <t>https://www.exchange-rates.org/exchange-rate-history/php-usd-2023</t>
  </si>
  <si>
    <t>https://www.exchange-rates.org/exchange-rate-history/php-usd-2024</t>
  </si>
  <si>
    <t>https://www.exchange-rates.org/exchange-rate-history/php-usd-2025</t>
  </si>
  <si>
    <t>https://www.exchange-rates.org/exchange-rate-history/php-usd-2026</t>
  </si>
  <si>
    <t>https://www.exchange-rates.org/exchange-rate-history/php-usd-2027</t>
  </si>
  <si>
    <t>https://www.exchange-rates.org/exchange-rate-history/php-usd-2028</t>
  </si>
  <si>
    <t>https://www.exchange-rates.org/exchange-rate-history/php-usd-2029</t>
  </si>
  <si>
    <t>https://www.exchange-rates.org/exchange-rate-history/php-usd-2030</t>
  </si>
  <si>
    <t>https://www.exchange-rates.org/exchange-rate-history/php-usd-2031</t>
  </si>
  <si>
    <t>https://www.exchange-rates.org/exchange-rate-history/php-usd-2032</t>
  </si>
  <si>
    <t>https://www.exchange-rates.org/exchange-rate-history/php-usd-2033</t>
  </si>
  <si>
    <t>NG price (2024 USD/GJ)</t>
  </si>
  <si>
    <t>MMBtu/GJ</t>
  </si>
  <si>
    <t>Conversion from USD at time to 2024 USD</t>
  </si>
  <si>
    <t>Average</t>
  </si>
  <si>
    <t>https://www.globalpetrolprices.com/natural_gas_prices/</t>
  </si>
  <si>
    <t>USD/kWh</t>
  </si>
  <si>
    <t>NOK/MWh</t>
  </si>
  <si>
    <t>https://www.intratec.us/solutions/energy-prices-markets/commodity/natural-gas-price-norway</t>
  </si>
  <si>
    <t>USD per NOK</t>
  </si>
  <si>
    <t>MWh/GJ</t>
  </si>
  <si>
    <t>SAR/MMBtu</t>
  </si>
  <si>
    <t>https://www.intratec.us/solutions/energy-prices-markets/commodity/natural-gas-price-saudi-arabia</t>
  </si>
  <si>
    <t>USD per SAR</t>
  </si>
  <si>
    <t>IDR/MMBtu</t>
  </si>
  <si>
    <t>https://www.intratec.us/solutions/energy-prices-markets/commodity/natural-gas-price-indonesia</t>
  </si>
  <si>
    <t>USD per IDR</t>
  </si>
  <si>
    <t>CNY/MMBtu</t>
  </si>
  <si>
    <t>https://www.intratec.us/solutions/energy-prices-markets/commodity/natural-gas-price-china</t>
  </si>
  <si>
    <t>USD per CNY</t>
  </si>
  <si>
    <t>AUD/MMBtu</t>
  </si>
  <si>
    <t>https://www.intratec.us/solutions/energy-prices-markets/commodity/natural-gas-price-australia</t>
  </si>
  <si>
    <t>https://www.intratec.us/solutions/energy-prices-markets/commodity/natural-gas-price-thailand</t>
  </si>
  <si>
    <t>THB/MMBtu</t>
  </si>
  <si>
    <t>USD per THB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</si>
</sst>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sz val="12"/>
      <color rgb="FF00000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i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7" fontId="0" fillId="0" borderId="0" xfId="0" applyNumberFormat="1"/>
    <xf numFmtId="0" fontId="5" fillId="0" borderId="0" xfId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ntratec.us/solutions/energy-prices-markets/commodity/natural-gas-price-saudi-arabia" TargetMode="External"/><Relationship Id="rId1" Type="http://schemas.openxmlformats.org/officeDocument/2006/relationships/hyperlink" Target="https://www.intratec.us/solutions/energy-prices-markets/commodity/natural-gas-price-saudi-arab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26BC1-3589-3349-BEEC-367A457B6DF6}">
  <dimension ref="A1:H2"/>
  <sheetViews>
    <sheetView workbookViewId="0">
      <selection activeCell="C2" sqref="C2"/>
    </sheetView>
  </sheetViews>
  <sheetFormatPr baseColWidth="10" defaultRowHeight="16" x14ac:dyDescent="0.2"/>
  <sheetData>
    <row r="1" spans="1:8" x14ac:dyDescent="0.2">
      <c r="A1" t="s">
        <v>31</v>
      </c>
      <c r="B1" t="s">
        <v>1</v>
      </c>
      <c r="C1" t="s">
        <v>30</v>
      </c>
      <c r="D1" t="s">
        <v>37</v>
      </c>
      <c r="E1" t="s">
        <v>30</v>
      </c>
      <c r="F1" t="s">
        <v>32</v>
      </c>
      <c r="G1" t="s">
        <v>30</v>
      </c>
      <c r="H1" t="s">
        <v>33</v>
      </c>
    </row>
    <row r="2" spans="1:8" x14ac:dyDescent="0.2">
      <c r="A2">
        <v>63.94</v>
      </c>
      <c r="B2" t="s">
        <v>36</v>
      </c>
      <c r="C2" t="s">
        <v>38</v>
      </c>
      <c r="D2">
        <v>5.3999999999999999E-2</v>
      </c>
      <c r="E2" t="s">
        <v>34</v>
      </c>
      <c r="F2">
        <v>1.0308999999999999</v>
      </c>
      <c r="G2" t="s">
        <v>35</v>
      </c>
      <c r="H2">
        <f>A2*D2*F2</f>
        <v>3.559450284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671A4-4264-BD43-BFB2-A18B67DC56B1}">
  <dimension ref="A1:F2"/>
  <sheetViews>
    <sheetView workbookViewId="0">
      <selection activeCell="C2" sqref="C2"/>
    </sheetView>
  </sheetViews>
  <sheetFormatPr baseColWidth="10" defaultRowHeight="16" x14ac:dyDescent="0.2"/>
  <sheetData>
    <row r="1" spans="1:6" x14ac:dyDescent="0.2">
      <c r="A1" t="s">
        <v>39</v>
      </c>
      <c r="B1" t="s">
        <v>1</v>
      </c>
      <c r="C1" t="s">
        <v>30</v>
      </c>
      <c r="D1" t="s">
        <v>42</v>
      </c>
      <c r="E1" t="s">
        <v>43</v>
      </c>
      <c r="F1" t="s">
        <v>44</v>
      </c>
    </row>
    <row r="2" spans="1:6" x14ac:dyDescent="0.2">
      <c r="A2">
        <v>0.06</v>
      </c>
      <c r="B2" t="s">
        <v>40</v>
      </c>
      <c r="C2" t="s">
        <v>41</v>
      </c>
      <c r="D2">
        <v>1.08</v>
      </c>
      <c r="E2" s="3">
        <v>277.77777800000001</v>
      </c>
      <c r="F2">
        <f>A2*D2*E2</f>
        <v>18.000000014400001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B0CC0-2DDC-A84A-956C-881D6BD4FE5A}">
  <dimension ref="A1:I15"/>
  <sheetViews>
    <sheetView workbookViewId="0">
      <selection activeCell="D14" sqref="D14"/>
    </sheetView>
  </sheetViews>
  <sheetFormatPr baseColWidth="10" defaultRowHeight="16" x14ac:dyDescent="0.2"/>
  <sheetData>
    <row r="1" spans="1:9" x14ac:dyDescent="0.2">
      <c r="A1" t="s">
        <v>45</v>
      </c>
      <c r="B1" t="s">
        <v>46</v>
      </c>
      <c r="C1" t="s">
        <v>1</v>
      </c>
      <c r="D1" t="s">
        <v>30</v>
      </c>
      <c r="E1" t="s">
        <v>70</v>
      </c>
      <c r="F1" t="s">
        <v>30</v>
      </c>
      <c r="G1" t="s">
        <v>64</v>
      </c>
      <c r="H1" t="s">
        <v>71</v>
      </c>
      <c r="I1" t="s">
        <v>62</v>
      </c>
    </row>
    <row r="2" spans="1:9" x14ac:dyDescent="0.2">
      <c r="A2" s="4">
        <v>44652</v>
      </c>
      <c r="B2">
        <v>630</v>
      </c>
      <c r="C2" t="s">
        <v>68</v>
      </c>
      <c r="D2" t="s">
        <v>69</v>
      </c>
      <c r="E2">
        <v>0.1133</v>
      </c>
      <c r="F2" t="s">
        <v>50</v>
      </c>
      <c r="G2">
        <v>1.0668</v>
      </c>
      <c r="H2">
        <v>0.27777800000000002</v>
      </c>
      <c r="I2">
        <f>B2*E2*G2*H2</f>
        <v>21.1519939215816</v>
      </c>
    </row>
    <row r="3" spans="1:9" x14ac:dyDescent="0.2">
      <c r="A3" s="4">
        <v>44682</v>
      </c>
      <c r="B3">
        <v>530</v>
      </c>
      <c r="C3" t="s">
        <v>68</v>
      </c>
      <c r="D3" t="s">
        <v>69</v>
      </c>
      <c r="E3">
        <v>0.10340000000000001</v>
      </c>
      <c r="F3" t="s">
        <v>50</v>
      </c>
      <c r="G3">
        <v>1.0551999999999999</v>
      </c>
      <c r="H3">
        <v>0.27777800000000002</v>
      </c>
      <c r="I3">
        <f t="shared" ref="I3:I14" si="0">B3*E3*G3*H3</f>
        <v>16.063087961571199</v>
      </c>
    </row>
    <row r="4" spans="1:9" x14ac:dyDescent="0.2">
      <c r="A4" s="4">
        <v>44713</v>
      </c>
      <c r="B4">
        <v>670</v>
      </c>
      <c r="C4" t="s">
        <v>68</v>
      </c>
      <c r="D4" t="s">
        <v>69</v>
      </c>
      <c r="E4">
        <v>9.9729999999999999E-2</v>
      </c>
      <c r="F4" t="s">
        <v>51</v>
      </c>
      <c r="G4">
        <v>1.0408999999999999</v>
      </c>
      <c r="H4">
        <v>0.27777800000000002</v>
      </c>
      <c r="I4">
        <f t="shared" si="0"/>
        <v>19.320015786555821</v>
      </c>
    </row>
    <row r="5" spans="1:9" x14ac:dyDescent="0.2">
      <c r="A5" s="4">
        <v>44743</v>
      </c>
      <c r="B5">
        <v>1050</v>
      </c>
      <c r="C5" t="s">
        <v>68</v>
      </c>
      <c r="D5" t="s">
        <v>69</v>
      </c>
      <c r="E5">
        <v>0.1013</v>
      </c>
      <c r="F5" t="s">
        <v>52</v>
      </c>
      <c r="G5">
        <v>1.0409999999999999</v>
      </c>
      <c r="H5">
        <v>0.27777800000000002</v>
      </c>
      <c r="I5">
        <f t="shared" si="0"/>
        <v>30.757237105769999</v>
      </c>
    </row>
    <row r="6" spans="1:9" x14ac:dyDescent="0.2">
      <c r="A6" s="4">
        <v>44774</v>
      </c>
      <c r="B6">
        <v>1680</v>
      </c>
      <c r="C6" t="s">
        <v>68</v>
      </c>
      <c r="D6" t="s">
        <v>69</v>
      </c>
      <c r="E6">
        <v>9.5899999999999999E-2</v>
      </c>
      <c r="F6" t="s">
        <v>53</v>
      </c>
      <c r="G6">
        <v>1.0412999999999999</v>
      </c>
      <c r="H6">
        <v>0.27777800000000002</v>
      </c>
      <c r="I6">
        <f t="shared" si="0"/>
        <v>46.601683281316795</v>
      </c>
    </row>
    <row r="7" spans="1:9" x14ac:dyDescent="0.2">
      <c r="A7" s="4">
        <v>44805</v>
      </c>
      <c r="B7">
        <v>1400</v>
      </c>
      <c r="C7" t="s">
        <v>68</v>
      </c>
      <c r="D7" t="s">
        <v>69</v>
      </c>
      <c r="E7">
        <v>9.8140000000000005E-2</v>
      </c>
      <c r="F7" t="s">
        <v>54</v>
      </c>
      <c r="G7">
        <v>1.0390999999999999</v>
      </c>
      <c r="H7">
        <v>0.27777800000000002</v>
      </c>
      <c r="I7">
        <f t="shared" si="0"/>
        <v>39.657860504040805</v>
      </c>
    </row>
    <row r="8" spans="1:9" x14ac:dyDescent="0.2">
      <c r="A8" s="4">
        <v>44835</v>
      </c>
      <c r="B8">
        <v>630</v>
      </c>
      <c r="C8" t="s">
        <v>68</v>
      </c>
      <c r="D8" t="s">
        <v>69</v>
      </c>
      <c r="E8">
        <v>9.9900000000000003E-2</v>
      </c>
      <c r="F8" t="s">
        <v>55</v>
      </c>
      <c r="G8">
        <v>1.0348999999999999</v>
      </c>
      <c r="H8">
        <v>0.27777800000000002</v>
      </c>
      <c r="I8">
        <f t="shared" si="0"/>
        <v>18.092653724111404</v>
      </c>
    </row>
    <row r="9" spans="1:9" x14ac:dyDescent="0.2">
      <c r="A9" s="4">
        <v>44866</v>
      </c>
      <c r="B9">
        <v>770</v>
      </c>
      <c r="C9" t="s">
        <v>68</v>
      </c>
      <c r="D9" t="s">
        <v>69</v>
      </c>
      <c r="E9">
        <v>9.9629999999999996E-2</v>
      </c>
      <c r="F9" t="s">
        <v>56</v>
      </c>
      <c r="G9">
        <v>1.036</v>
      </c>
      <c r="H9">
        <v>0.27777800000000002</v>
      </c>
      <c r="I9">
        <f t="shared" si="0"/>
        <v>22.0769186615208</v>
      </c>
    </row>
    <row r="10" spans="1:9" x14ac:dyDescent="0.2">
      <c r="A10" s="4">
        <v>44896</v>
      </c>
      <c r="B10">
        <v>1020</v>
      </c>
      <c r="C10" t="s">
        <v>68</v>
      </c>
      <c r="D10" t="s">
        <v>69</v>
      </c>
      <c r="E10">
        <v>0.10100000000000001</v>
      </c>
      <c r="F10" t="s">
        <v>57</v>
      </c>
      <c r="G10">
        <v>1.0391999999999999</v>
      </c>
      <c r="H10">
        <v>0.27777800000000002</v>
      </c>
      <c r="I10">
        <f t="shared" si="0"/>
        <v>29.738463790752004</v>
      </c>
    </row>
    <row r="11" spans="1:9" x14ac:dyDescent="0.2">
      <c r="A11" s="4">
        <v>44927</v>
      </c>
      <c r="B11">
        <v>580</v>
      </c>
      <c r="C11" t="s">
        <v>68</v>
      </c>
      <c r="D11" t="s">
        <v>69</v>
      </c>
      <c r="E11">
        <v>0.1008</v>
      </c>
      <c r="F11" t="s">
        <v>58</v>
      </c>
      <c r="G11">
        <v>1.0308999999999999</v>
      </c>
      <c r="H11">
        <v>0.27777800000000002</v>
      </c>
      <c r="I11">
        <f t="shared" si="0"/>
        <v>16.7418293934528</v>
      </c>
    </row>
    <row r="12" spans="1:9" x14ac:dyDescent="0.2">
      <c r="A12" s="4">
        <v>44958</v>
      </c>
      <c r="B12">
        <v>500</v>
      </c>
      <c r="C12" t="s">
        <v>68</v>
      </c>
      <c r="D12" t="s">
        <v>69</v>
      </c>
      <c r="E12">
        <v>9.7229999999999997E-2</v>
      </c>
      <c r="F12" t="s">
        <v>59</v>
      </c>
      <c r="G12">
        <v>1.0251999999999999</v>
      </c>
      <c r="H12">
        <v>0.27777800000000002</v>
      </c>
      <c r="I12">
        <f t="shared" si="0"/>
        <v>13.844482742244001</v>
      </c>
    </row>
    <row r="13" spans="1:9" x14ac:dyDescent="0.2">
      <c r="A13" s="4">
        <v>44986</v>
      </c>
      <c r="B13">
        <v>430</v>
      </c>
      <c r="C13" t="s">
        <v>68</v>
      </c>
      <c r="D13" t="s">
        <v>69</v>
      </c>
      <c r="E13">
        <v>9.2950000000000005E-2</v>
      </c>
      <c r="F13" t="s">
        <v>60</v>
      </c>
      <c r="G13">
        <v>1.0218</v>
      </c>
      <c r="H13">
        <v>0.27777800000000002</v>
      </c>
      <c r="I13">
        <f t="shared" si="0"/>
        <v>11.344401658847401</v>
      </c>
    </row>
    <row r="14" spans="1:9" x14ac:dyDescent="0.2">
      <c r="A14" s="4">
        <v>45017</v>
      </c>
      <c r="B14">
        <v>450</v>
      </c>
      <c r="C14" t="s">
        <v>68</v>
      </c>
      <c r="D14" t="s">
        <v>69</v>
      </c>
      <c r="E14">
        <v>9.4469999999999998E-2</v>
      </c>
      <c r="F14" t="s">
        <v>61</v>
      </c>
      <c r="G14">
        <v>1.0166999999999999</v>
      </c>
      <c r="H14">
        <v>0.27777800000000002</v>
      </c>
      <c r="I14">
        <f t="shared" si="0"/>
        <v>12.005965729764899</v>
      </c>
    </row>
    <row r="15" spans="1:9" x14ac:dyDescent="0.2">
      <c r="A15" t="s">
        <v>65</v>
      </c>
      <c r="I15">
        <f>AVERAGE(I2:I14)</f>
        <v>22.876661097040731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52FD2-3ABB-4940-8A84-11E32E144CDB}">
  <dimension ref="A1:I15"/>
  <sheetViews>
    <sheetView workbookViewId="0">
      <selection activeCell="D14" sqref="D14"/>
    </sheetView>
  </sheetViews>
  <sheetFormatPr baseColWidth="10" defaultRowHeight="16" x14ac:dyDescent="0.2"/>
  <sheetData>
    <row r="1" spans="1:9" x14ac:dyDescent="0.2">
      <c r="A1" t="s">
        <v>45</v>
      </c>
      <c r="B1" t="s">
        <v>46</v>
      </c>
      <c r="C1" t="s">
        <v>1</v>
      </c>
      <c r="D1" t="s">
        <v>30</v>
      </c>
      <c r="E1" t="s">
        <v>74</v>
      </c>
      <c r="F1" t="s">
        <v>30</v>
      </c>
      <c r="G1" t="s">
        <v>64</v>
      </c>
      <c r="H1" t="s">
        <v>63</v>
      </c>
      <c r="I1" t="s">
        <v>62</v>
      </c>
    </row>
    <row r="2" spans="1:9" x14ac:dyDescent="0.2">
      <c r="A2" s="4">
        <v>44652</v>
      </c>
      <c r="B2">
        <v>4.6900000000000004</v>
      </c>
      <c r="C2" t="s">
        <v>72</v>
      </c>
      <c r="D2" s="5" t="s">
        <v>73</v>
      </c>
      <c r="E2">
        <v>0.2666</v>
      </c>
      <c r="F2" t="s">
        <v>50</v>
      </c>
      <c r="G2">
        <v>1.0668</v>
      </c>
      <c r="H2">
        <v>0.94781700000000002</v>
      </c>
      <c r="I2">
        <f>B2*E2*G2*H2</f>
        <v>1.2642719099361626</v>
      </c>
    </row>
    <row r="3" spans="1:9" x14ac:dyDescent="0.2">
      <c r="A3" s="4">
        <v>44682</v>
      </c>
      <c r="B3">
        <v>4.6900000000000004</v>
      </c>
      <c r="C3" t="s">
        <v>72</v>
      </c>
      <c r="D3" s="5" t="s">
        <v>73</v>
      </c>
      <c r="E3">
        <v>0.2666</v>
      </c>
      <c r="F3" t="s">
        <v>50</v>
      </c>
      <c r="G3">
        <v>1.0551999999999999</v>
      </c>
      <c r="H3">
        <v>0.94781700000000002</v>
      </c>
      <c r="I3">
        <f t="shared" ref="I3:I14" si="0">B3*E3*G3*H3</f>
        <v>1.2505246713204337</v>
      </c>
    </row>
    <row r="4" spans="1:9" x14ac:dyDescent="0.2">
      <c r="A4" s="4">
        <v>44713</v>
      </c>
      <c r="B4">
        <v>4.6900000000000004</v>
      </c>
      <c r="C4" t="s">
        <v>72</v>
      </c>
      <c r="D4" s="5" t="s">
        <v>73</v>
      </c>
      <c r="E4">
        <v>0.26650000000000001</v>
      </c>
      <c r="F4" t="s">
        <v>51</v>
      </c>
      <c r="G4">
        <v>1.0408999999999999</v>
      </c>
      <c r="H4">
        <v>0.94781700000000002</v>
      </c>
      <c r="I4">
        <f t="shared" si="0"/>
        <v>1.2331149371127406</v>
      </c>
    </row>
    <row r="5" spans="1:9" x14ac:dyDescent="0.2">
      <c r="A5" s="4">
        <v>44743</v>
      </c>
      <c r="B5">
        <v>4.6900000000000004</v>
      </c>
      <c r="C5" t="s">
        <v>72</v>
      </c>
      <c r="D5" s="5" t="s">
        <v>73</v>
      </c>
      <c r="E5">
        <v>0.26629999999999998</v>
      </c>
      <c r="F5" t="s">
        <v>52</v>
      </c>
      <c r="G5">
        <v>1.0409999999999999</v>
      </c>
      <c r="H5">
        <v>0.94781700000000002</v>
      </c>
      <c r="I5">
        <f t="shared" si="0"/>
        <v>1.2323078998456589</v>
      </c>
    </row>
    <row r="6" spans="1:9" x14ac:dyDescent="0.2">
      <c r="A6" s="4">
        <v>44774</v>
      </c>
      <c r="B6">
        <v>4.6900000000000004</v>
      </c>
      <c r="C6" t="s">
        <v>72</v>
      </c>
      <c r="D6" s="5" t="s">
        <v>73</v>
      </c>
      <c r="E6">
        <v>0.26629999999999998</v>
      </c>
      <c r="F6" t="s">
        <v>53</v>
      </c>
      <c r="G6">
        <v>1.0412999999999999</v>
      </c>
      <c r="H6">
        <v>0.94781700000000002</v>
      </c>
      <c r="I6">
        <f t="shared" si="0"/>
        <v>1.2326630318052687</v>
      </c>
    </row>
    <row r="7" spans="1:9" x14ac:dyDescent="0.2">
      <c r="A7" s="4">
        <v>44805</v>
      </c>
      <c r="B7">
        <v>4.6900000000000004</v>
      </c>
      <c r="C7" t="s">
        <v>72</v>
      </c>
      <c r="D7" s="5" t="s">
        <v>73</v>
      </c>
      <c r="E7">
        <v>0.2661</v>
      </c>
      <c r="F7" t="s">
        <v>54</v>
      </c>
      <c r="G7">
        <v>1.0390999999999999</v>
      </c>
      <c r="H7">
        <v>0.94781700000000002</v>
      </c>
      <c r="I7">
        <f t="shared" si="0"/>
        <v>1.2291349164754024</v>
      </c>
    </row>
    <row r="8" spans="1:9" x14ac:dyDescent="0.2">
      <c r="A8" s="4">
        <v>44835</v>
      </c>
      <c r="B8">
        <v>4.6900000000000004</v>
      </c>
      <c r="C8" t="s">
        <v>72</v>
      </c>
      <c r="D8" s="5" t="s">
        <v>73</v>
      </c>
      <c r="E8">
        <v>0.2661</v>
      </c>
      <c r="F8" t="s">
        <v>55</v>
      </c>
      <c r="G8">
        <v>1.0348999999999999</v>
      </c>
      <c r="H8">
        <v>0.94781700000000002</v>
      </c>
      <c r="I8">
        <f t="shared" si="0"/>
        <v>1.2241668030607198</v>
      </c>
    </row>
    <row r="9" spans="1:9" x14ac:dyDescent="0.2">
      <c r="A9" s="4">
        <v>44866</v>
      </c>
      <c r="B9">
        <v>4.6900000000000004</v>
      </c>
      <c r="C9" t="s">
        <v>72</v>
      </c>
      <c r="D9" s="5" t="s">
        <v>73</v>
      </c>
      <c r="E9">
        <v>0.26600000000000001</v>
      </c>
      <c r="F9" t="s">
        <v>56</v>
      </c>
      <c r="G9">
        <v>1.036</v>
      </c>
      <c r="H9">
        <v>0.94781700000000002</v>
      </c>
      <c r="I9">
        <f t="shared" si="0"/>
        <v>1.2250074465064802</v>
      </c>
    </row>
    <row r="10" spans="1:9" x14ac:dyDescent="0.2">
      <c r="A10" s="4">
        <v>44896</v>
      </c>
      <c r="B10">
        <v>4.6900000000000004</v>
      </c>
      <c r="C10" t="s">
        <v>72</v>
      </c>
      <c r="D10" s="5" t="s">
        <v>73</v>
      </c>
      <c r="E10">
        <v>0.26590000000000003</v>
      </c>
      <c r="F10" t="s">
        <v>57</v>
      </c>
      <c r="G10">
        <v>1.0391999999999999</v>
      </c>
      <c r="H10">
        <v>0.94781700000000002</v>
      </c>
      <c r="I10">
        <f t="shared" si="0"/>
        <v>1.2283293016920747</v>
      </c>
    </row>
    <row r="11" spans="1:9" x14ac:dyDescent="0.2">
      <c r="A11" s="4">
        <v>44927</v>
      </c>
      <c r="B11">
        <v>4.6900000000000004</v>
      </c>
      <c r="C11" t="s">
        <v>72</v>
      </c>
      <c r="D11" s="5" t="s">
        <v>73</v>
      </c>
      <c r="E11">
        <v>0.26619999999999999</v>
      </c>
      <c r="F11" t="s">
        <v>58</v>
      </c>
      <c r="G11">
        <v>1.0308999999999999</v>
      </c>
      <c r="H11">
        <v>0.94781700000000002</v>
      </c>
      <c r="I11">
        <f t="shared" si="0"/>
        <v>1.2198935285070533</v>
      </c>
    </row>
    <row r="12" spans="1:9" x14ac:dyDescent="0.2">
      <c r="A12" s="4">
        <v>44958</v>
      </c>
      <c r="B12">
        <v>4.6900000000000004</v>
      </c>
      <c r="C12" t="s">
        <v>72</v>
      </c>
      <c r="D12" s="5" t="s">
        <v>73</v>
      </c>
      <c r="E12">
        <v>0.26679999999999998</v>
      </c>
      <c r="F12" t="s">
        <v>59</v>
      </c>
      <c r="G12">
        <v>1.0251999999999999</v>
      </c>
      <c r="H12">
        <v>0.94781700000000002</v>
      </c>
      <c r="I12">
        <f t="shared" si="0"/>
        <v>1.2158829244690128</v>
      </c>
    </row>
    <row r="13" spans="1:9" x14ac:dyDescent="0.2">
      <c r="A13" s="4">
        <v>44986</v>
      </c>
      <c r="B13">
        <v>4.6900000000000004</v>
      </c>
      <c r="C13" t="s">
        <v>72</v>
      </c>
      <c r="D13" s="5" t="s">
        <v>73</v>
      </c>
      <c r="E13">
        <v>0.26619999999999999</v>
      </c>
      <c r="F13" t="s">
        <v>60</v>
      </c>
      <c r="G13">
        <v>1.0218</v>
      </c>
      <c r="H13">
        <v>0.94781700000000002</v>
      </c>
      <c r="I13">
        <f t="shared" si="0"/>
        <v>1.2091252375870669</v>
      </c>
    </row>
    <row r="14" spans="1:9" x14ac:dyDescent="0.2">
      <c r="A14" s="4">
        <v>45017</v>
      </c>
      <c r="B14">
        <v>4.6900000000000004</v>
      </c>
      <c r="C14" t="s">
        <v>72</v>
      </c>
      <c r="D14" s="5" t="s">
        <v>73</v>
      </c>
      <c r="E14">
        <v>0.2666</v>
      </c>
      <c r="F14" t="s">
        <v>61</v>
      </c>
      <c r="G14">
        <v>1.0166999999999999</v>
      </c>
      <c r="H14">
        <v>0.94781700000000002</v>
      </c>
      <c r="I14">
        <f t="shared" si="0"/>
        <v>1.2048980603975408</v>
      </c>
    </row>
    <row r="15" spans="1:9" x14ac:dyDescent="0.2">
      <c r="A15" t="s">
        <v>65</v>
      </c>
      <c r="I15">
        <f>AVERAGE(I2:I14)</f>
        <v>1.2284092822088934</v>
      </c>
    </row>
  </sheetData>
  <hyperlinks>
    <hyperlink ref="D2" r:id="rId1" xr:uid="{05818355-0411-2E42-9CED-634602B3AB10}"/>
    <hyperlink ref="D3:D14" r:id="rId2" display="https://www.intratec.us/solutions/energy-prices-markets/commodity/natural-gas-price-saudi-arabia" xr:uid="{529E17CD-20FF-4F48-88CA-6897F2886F61}"/>
  </hyperlink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0DAEB-28F1-9147-8DCA-8C441024A083}">
  <dimension ref="A1:F2"/>
  <sheetViews>
    <sheetView tabSelected="1" workbookViewId="0">
      <selection activeCell="E12" sqref="E12"/>
    </sheetView>
  </sheetViews>
  <sheetFormatPr baseColWidth="10" defaultRowHeight="16" x14ac:dyDescent="0.2"/>
  <sheetData>
    <row r="1" spans="1:6" x14ac:dyDescent="0.2">
      <c r="A1" s="2" t="s">
        <v>39</v>
      </c>
      <c r="B1" s="2" t="s">
        <v>1</v>
      </c>
      <c r="C1" s="2" t="s">
        <v>30</v>
      </c>
      <c r="D1" s="2" t="s">
        <v>42</v>
      </c>
      <c r="E1" s="2" t="s">
        <v>43</v>
      </c>
      <c r="F1" s="2" t="s">
        <v>44</v>
      </c>
    </row>
    <row r="2" spans="1:6" x14ac:dyDescent="0.2">
      <c r="A2" s="2">
        <v>4.9000000000000002E-2</v>
      </c>
      <c r="B2" s="2" t="s">
        <v>40</v>
      </c>
      <c r="C2" s="2" t="s">
        <v>41</v>
      </c>
      <c r="D2" s="2">
        <v>1.08</v>
      </c>
      <c r="E2" s="6">
        <v>277.77778000000001</v>
      </c>
      <c r="F2" s="2">
        <f>A2*D2*E2</f>
        <v>14.700000117600002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852FC-84AB-794D-8FA4-6CB4EBB00F01}">
  <dimension ref="A1:I15"/>
  <sheetViews>
    <sheetView workbookViewId="0">
      <selection activeCell="D14" sqref="D14"/>
    </sheetView>
  </sheetViews>
  <sheetFormatPr baseColWidth="10" defaultRowHeight="16" x14ac:dyDescent="0.2"/>
  <sheetData>
    <row r="1" spans="1:9" x14ac:dyDescent="0.2">
      <c r="A1" t="s">
        <v>45</v>
      </c>
      <c r="B1" t="s">
        <v>46</v>
      </c>
      <c r="C1" t="s">
        <v>1</v>
      </c>
      <c r="D1" t="s">
        <v>30</v>
      </c>
      <c r="E1" t="s">
        <v>47</v>
      </c>
      <c r="F1" t="s">
        <v>30</v>
      </c>
      <c r="G1" t="s">
        <v>64</v>
      </c>
      <c r="H1" t="s">
        <v>63</v>
      </c>
      <c r="I1" t="s">
        <v>62</v>
      </c>
    </row>
    <row r="2" spans="1:9" x14ac:dyDescent="0.2">
      <c r="A2" s="4">
        <v>44652</v>
      </c>
      <c r="B2">
        <v>1100</v>
      </c>
      <c r="C2" t="s">
        <v>48</v>
      </c>
      <c r="D2" t="s">
        <v>49</v>
      </c>
      <c r="E2">
        <v>1.941E-2</v>
      </c>
      <c r="F2" t="s">
        <v>50</v>
      </c>
      <c r="G2">
        <v>1.0668</v>
      </c>
      <c r="H2">
        <v>0.94781700000000002</v>
      </c>
      <c r="I2">
        <f>B2*E2*G2*H2</f>
        <v>21.588661730235597</v>
      </c>
    </row>
    <row r="3" spans="1:9" x14ac:dyDescent="0.2">
      <c r="A3" s="4">
        <v>44682</v>
      </c>
      <c r="B3">
        <v>1100</v>
      </c>
      <c r="C3" t="s">
        <v>48</v>
      </c>
      <c r="D3" t="s">
        <v>49</v>
      </c>
      <c r="E3">
        <v>1.9029999999999998E-2</v>
      </c>
      <c r="F3" t="s">
        <v>50</v>
      </c>
      <c r="G3">
        <v>1.0551999999999999</v>
      </c>
      <c r="H3">
        <v>0.94781700000000002</v>
      </c>
      <c r="I3">
        <f t="shared" ref="I3:I14" si="0">B3*E3*G3*H3</f>
        <v>20.935857321007198</v>
      </c>
    </row>
    <row r="4" spans="1:9" x14ac:dyDescent="0.2">
      <c r="A4" s="4">
        <v>44713</v>
      </c>
      <c r="B4">
        <v>980</v>
      </c>
      <c r="C4" t="s">
        <v>48</v>
      </c>
      <c r="D4" t="s">
        <v>49</v>
      </c>
      <c r="E4">
        <v>1.89E-2</v>
      </c>
      <c r="F4" t="s">
        <v>51</v>
      </c>
      <c r="G4">
        <v>1.0408999999999999</v>
      </c>
      <c r="H4">
        <v>0.94781700000000002</v>
      </c>
      <c r="I4">
        <f t="shared" si="0"/>
        <v>18.273485052786597</v>
      </c>
    </row>
    <row r="5" spans="1:9" x14ac:dyDescent="0.2">
      <c r="A5" s="4">
        <v>44743</v>
      </c>
      <c r="B5">
        <v>380</v>
      </c>
      <c r="C5" t="s">
        <v>48</v>
      </c>
      <c r="D5" t="s">
        <v>49</v>
      </c>
      <c r="E5">
        <v>1.8169999999999999E-2</v>
      </c>
      <c r="F5" t="s">
        <v>52</v>
      </c>
      <c r="G5">
        <v>1.0409999999999999</v>
      </c>
      <c r="H5">
        <v>0.94781700000000002</v>
      </c>
      <c r="I5">
        <f t="shared" si="0"/>
        <v>6.8126134457861989</v>
      </c>
    </row>
    <row r="6" spans="1:9" x14ac:dyDescent="0.2">
      <c r="A6" s="4">
        <v>44774</v>
      </c>
      <c r="B6">
        <v>380</v>
      </c>
      <c r="C6" t="s">
        <v>48</v>
      </c>
      <c r="D6" t="s">
        <v>49</v>
      </c>
      <c r="E6">
        <v>1.7950000000000001E-2</v>
      </c>
      <c r="F6" t="s">
        <v>53</v>
      </c>
      <c r="G6">
        <v>1.0412999999999999</v>
      </c>
      <c r="H6">
        <v>0.94781700000000002</v>
      </c>
      <c r="I6">
        <f t="shared" si="0"/>
        <v>6.7320667249641</v>
      </c>
    </row>
    <row r="7" spans="1:9" x14ac:dyDescent="0.2">
      <c r="A7" s="4">
        <v>44805</v>
      </c>
      <c r="B7">
        <v>370</v>
      </c>
      <c r="C7" t="s">
        <v>48</v>
      </c>
      <c r="D7" t="s">
        <v>49</v>
      </c>
      <c r="E7">
        <v>1.7610000000000001E-2</v>
      </c>
      <c r="F7" t="s">
        <v>54</v>
      </c>
      <c r="G7">
        <v>1.0390999999999999</v>
      </c>
      <c r="H7">
        <v>0.94781700000000002</v>
      </c>
      <c r="I7">
        <f t="shared" si="0"/>
        <v>6.4171607538717899</v>
      </c>
    </row>
    <row r="8" spans="1:9" x14ac:dyDescent="0.2">
      <c r="A8" s="4">
        <v>44835</v>
      </c>
      <c r="B8">
        <v>450</v>
      </c>
      <c r="C8" t="s">
        <v>48</v>
      </c>
      <c r="D8" t="s">
        <v>49</v>
      </c>
      <c r="E8">
        <v>1.6979999999999999E-2</v>
      </c>
      <c r="F8" t="s">
        <v>55</v>
      </c>
      <c r="G8">
        <v>1.0348999999999999</v>
      </c>
      <c r="H8">
        <v>0.94781700000000002</v>
      </c>
      <c r="I8">
        <f t="shared" si="0"/>
        <v>7.4950249094252985</v>
      </c>
    </row>
    <row r="9" spans="1:9" x14ac:dyDescent="0.2">
      <c r="A9" s="4">
        <v>44866</v>
      </c>
      <c r="B9">
        <v>450</v>
      </c>
      <c r="C9" t="s">
        <v>48</v>
      </c>
      <c r="D9" t="s">
        <v>49</v>
      </c>
      <c r="E9">
        <v>1.712E-2</v>
      </c>
      <c r="F9" t="s">
        <v>56</v>
      </c>
      <c r="G9">
        <v>1.036</v>
      </c>
      <c r="H9">
        <v>0.94781700000000002</v>
      </c>
      <c r="I9">
        <f t="shared" si="0"/>
        <v>7.5648535260480001</v>
      </c>
    </row>
    <row r="10" spans="1:9" x14ac:dyDescent="0.2">
      <c r="A10" s="4">
        <v>44896</v>
      </c>
      <c r="B10">
        <v>450</v>
      </c>
      <c r="C10" t="s">
        <v>48</v>
      </c>
      <c r="D10" t="s">
        <v>49</v>
      </c>
      <c r="E10">
        <v>1.7909999999999999E-2</v>
      </c>
      <c r="F10" t="s">
        <v>57</v>
      </c>
      <c r="G10">
        <v>1.0391999999999999</v>
      </c>
      <c r="H10">
        <v>0.94781700000000002</v>
      </c>
      <c r="I10">
        <f t="shared" si="0"/>
        <v>7.9383772110708</v>
      </c>
    </row>
    <row r="11" spans="1:9" x14ac:dyDescent="0.2">
      <c r="A11" s="4">
        <v>44927</v>
      </c>
      <c r="B11">
        <v>310</v>
      </c>
      <c r="C11" t="s">
        <v>48</v>
      </c>
      <c r="D11" t="s">
        <v>49</v>
      </c>
      <c r="E11">
        <v>1.8259999999999998E-2</v>
      </c>
      <c r="F11" t="s">
        <v>58</v>
      </c>
      <c r="G11">
        <v>1.0308999999999999</v>
      </c>
      <c r="H11">
        <v>0.94781700000000002</v>
      </c>
      <c r="I11">
        <f t="shared" si="0"/>
        <v>5.5309979891251793</v>
      </c>
    </row>
    <row r="12" spans="1:9" x14ac:dyDescent="0.2">
      <c r="A12" s="4">
        <v>44958</v>
      </c>
      <c r="B12">
        <v>310</v>
      </c>
      <c r="C12" t="s">
        <v>48</v>
      </c>
      <c r="D12" t="s">
        <v>49</v>
      </c>
      <c r="E12">
        <v>1.821E-2</v>
      </c>
      <c r="F12" t="s">
        <v>59</v>
      </c>
      <c r="G12">
        <v>1.0251999999999999</v>
      </c>
      <c r="H12">
        <v>0.94781700000000002</v>
      </c>
      <c r="I12">
        <f t="shared" si="0"/>
        <v>5.4853548947168393</v>
      </c>
    </row>
    <row r="13" spans="1:9" x14ac:dyDescent="0.2">
      <c r="A13" s="4">
        <v>44986</v>
      </c>
      <c r="B13">
        <v>310</v>
      </c>
      <c r="C13" t="s">
        <v>48</v>
      </c>
      <c r="D13" t="s">
        <v>49</v>
      </c>
      <c r="E13">
        <v>1.8280000000000001E-2</v>
      </c>
      <c r="F13" t="s">
        <v>60</v>
      </c>
      <c r="G13">
        <v>1.0218</v>
      </c>
      <c r="H13">
        <v>0.94781700000000002</v>
      </c>
      <c r="I13">
        <f t="shared" si="0"/>
        <v>5.4881791239880799</v>
      </c>
    </row>
    <row r="14" spans="1:9" x14ac:dyDescent="0.2">
      <c r="A14" s="4">
        <v>45017</v>
      </c>
      <c r="B14">
        <v>720</v>
      </c>
      <c r="C14" t="s">
        <v>48</v>
      </c>
      <c r="D14" t="s">
        <v>49</v>
      </c>
      <c r="E14">
        <v>1.8120000000000001E-2</v>
      </c>
      <c r="F14" t="s">
        <v>61</v>
      </c>
      <c r="G14">
        <v>1.0166999999999999</v>
      </c>
      <c r="H14">
        <v>0.94781700000000002</v>
      </c>
      <c r="I14">
        <f t="shared" si="0"/>
        <v>12.572105223936958</v>
      </c>
    </row>
    <row r="15" spans="1:9" x14ac:dyDescent="0.2">
      <c r="A15" t="s">
        <v>65</v>
      </c>
      <c r="I15">
        <f>AVERAGE(I2:I14)</f>
        <v>10.218056762074049</v>
      </c>
    </row>
  </sheetData>
  <phoneticPr fontId="4" type="noConversion"/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F45D-53CF-B54D-9178-30A3AE49E2B5}">
  <dimension ref="A1:I15"/>
  <sheetViews>
    <sheetView workbookViewId="0">
      <selection activeCell="D14" sqref="D14"/>
    </sheetView>
  </sheetViews>
  <sheetFormatPr baseColWidth="10" defaultRowHeight="16" x14ac:dyDescent="0.2"/>
  <cols>
    <col min="5" max="5" width="11.1640625" bestFit="1" customWidth="1"/>
  </cols>
  <sheetData>
    <row r="1" spans="1:9" x14ac:dyDescent="0.2">
      <c r="A1" t="s">
        <v>45</v>
      </c>
      <c r="B1" t="s">
        <v>46</v>
      </c>
      <c r="C1" t="s">
        <v>1</v>
      </c>
      <c r="D1" t="s">
        <v>30</v>
      </c>
      <c r="E1" t="s">
        <v>77</v>
      </c>
      <c r="F1" t="s">
        <v>30</v>
      </c>
      <c r="G1" t="s">
        <v>64</v>
      </c>
      <c r="H1" t="s">
        <v>63</v>
      </c>
      <c r="I1" t="s">
        <v>62</v>
      </c>
    </row>
    <row r="2" spans="1:9" x14ac:dyDescent="0.2">
      <c r="A2" s="4">
        <v>44652</v>
      </c>
      <c r="B2">
        <v>400000</v>
      </c>
      <c r="C2" t="s">
        <v>75</v>
      </c>
      <c r="D2" s="5" t="s">
        <v>76</v>
      </c>
      <c r="E2">
        <v>6.9610000000000006E-5</v>
      </c>
      <c r="F2" t="s">
        <v>50</v>
      </c>
      <c r="G2">
        <v>1.0668</v>
      </c>
      <c r="H2">
        <v>0.94781700000000002</v>
      </c>
      <c r="I2">
        <f>B2*E2*G2*H2</f>
        <v>28.153936453406398</v>
      </c>
    </row>
    <row r="3" spans="1:9" x14ac:dyDescent="0.2">
      <c r="A3" s="4">
        <v>44682</v>
      </c>
      <c r="B3">
        <v>300000</v>
      </c>
      <c r="C3" t="s">
        <v>75</v>
      </c>
      <c r="D3" s="5" t="s">
        <v>76</v>
      </c>
      <c r="E3">
        <v>6.8269999999999995E-5</v>
      </c>
      <c r="F3" t="s">
        <v>50</v>
      </c>
      <c r="G3">
        <v>1.0551999999999999</v>
      </c>
      <c r="H3">
        <v>0.94781700000000002</v>
      </c>
      <c r="I3">
        <f t="shared" ref="I3:I14" si="0">B3*E3*G3*H3</f>
        <v>20.483795623730398</v>
      </c>
    </row>
    <row r="4" spans="1:9" x14ac:dyDescent="0.2">
      <c r="A4" s="4">
        <v>44713</v>
      </c>
      <c r="B4">
        <v>410000</v>
      </c>
      <c r="C4" t="s">
        <v>75</v>
      </c>
      <c r="D4" s="5" t="s">
        <v>76</v>
      </c>
      <c r="E4">
        <v>6.8250000000000006E-5</v>
      </c>
      <c r="F4" t="s">
        <v>51</v>
      </c>
      <c r="G4">
        <v>1.0408999999999999</v>
      </c>
      <c r="H4">
        <v>0.94781700000000002</v>
      </c>
      <c r="I4">
        <f t="shared" si="0"/>
        <v>27.607050830882251</v>
      </c>
    </row>
    <row r="5" spans="1:9" x14ac:dyDescent="0.2">
      <c r="A5" s="4">
        <v>44743</v>
      </c>
      <c r="B5">
        <v>600000</v>
      </c>
      <c r="C5" t="s">
        <v>75</v>
      </c>
      <c r="D5" s="5" t="s">
        <v>76</v>
      </c>
      <c r="E5">
        <v>6.6749999999999996E-5</v>
      </c>
      <c r="F5" t="s">
        <v>52</v>
      </c>
      <c r="G5">
        <v>1.0409999999999999</v>
      </c>
      <c r="H5">
        <v>0.94781700000000002</v>
      </c>
      <c r="I5">
        <f t="shared" si="0"/>
        <v>39.516433754849999</v>
      </c>
    </row>
    <row r="6" spans="1:9" x14ac:dyDescent="0.2">
      <c r="A6" s="4">
        <v>44774</v>
      </c>
      <c r="B6">
        <v>780000</v>
      </c>
      <c r="C6" t="s">
        <v>75</v>
      </c>
      <c r="D6" s="5" t="s">
        <v>76</v>
      </c>
      <c r="E6">
        <v>6.7799999999999995E-5</v>
      </c>
      <c r="F6" t="s">
        <v>53</v>
      </c>
      <c r="G6">
        <v>1.0412999999999999</v>
      </c>
      <c r="H6">
        <v>0.94781700000000002</v>
      </c>
      <c r="I6">
        <f t="shared" si="0"/>
        <v>52.194490057616392</v>
      </c>
    </row>
    <row r="7" spans="1:9" x14ac:dyDescent="0.2">
      <c r="A7" s="4">
        <v>44805</v>
      </c>
      <c r="B7">
        <v>650000</v>
      </c>
      <c r="C7" t="s">
        <v>75</v>
      </c>
      <c r="D7" s="5" t="s">
        <v>76</v>
      </c>
      <c r="E7">
        <v>6.6920000000000003E-5</v>
      </c>
      <c r="F7" t="s">
        <v>54</v>
      </c>
      <c r="G7">
        <v>1.0390999999999999</v>
      </c>
      <c r="H7">
        <v>0.94781700000000002</v>
      </c>
      <c r="I7">
        <f t="shared" si="0"/>
        <v>42.840164291160605</v>
      </c>
    </row>
    <row r="8" spans="1:9" x14ac:dyDescent="0.2">
      <c r="A8" s="4">
        <v>44835</v>
      </c>
      <c r="B8">
        <v>430000</v>
      </c>
      <c r="C8" t="s">
        <v>75</v>
      </c>
      <c r="D8" s="5" t="s">
        <v>76</v>
      </c>
      <c r="E8">
        <v>6.4759999999999997E-5</v>
      </c>
      <c r="F8" t="s">
        <v>55</v>
      </c>
      <c r="G8">
        <v>1.0348999999999999</v>
      </c>
      <c r="H8">
        <v>0.94781700000000002</v>
      </c>
      <c r="I8">
        <f t="shared" si="0"/>
        <v>27.314809533802435</v>
      </c>
    </row>
    <row r="9" spans="1:9" x14ac:dyDescent="0.2">
      <c r="A9" s="4">
        <v>44866</v>
      </c>
      <c r="B9">
        <v>380000</v>
      </c>
      <c r="C9" t="s">
        <v>75</v>
      </c>
      <c r="D9" s="5" t="s">
        <v>76</v>
      </c>
      <c r="E9">
        <v>6.4280000000000001E-5</v>
      </c>
      <c r="F9" t="s">
        <v>56</v>
      </c>
      <c r="G9">
        <v>1.036</v>
      </c>
      <c r="H9">
        <v>0.94781700000000002</v>
      </c>
      <c r="I9">
        <f t="shared" si="0"/>
        <v>23.985220426876801</v>
      </c>
    </row>
    <row r="10" spans="1:9" x14ac:dyDescent="0.2">
      <c r="A10" s="4">
        <v>44896</v>
      </c>
      <c r="B10">
        <v>450000</v>
      </c>
      <c r="C10" t="s">
        <v>75</v>
      </c>
      <c r="D10" s="5" t="s">
        <v>76</v>
      </c>
      <c r="E10">
        <v>6.3979999999999994E-5</v>
      </c>
      <c r="F10" t="s">
        <v>57</v>
      </c>
      <c r="G10">
        <v>1.0391999999999999</v>
      </c>
      <c r="H10">
        <v>0.94781700000000002</v>
      </c>
      <c r="I10">
        <f t="shared" si="0"/>
        <v>28.358312337482396</v>
      </c>
    </row>
    <row r="11" spans="1:9" x14ac:dyDescent="0.2">
      <c r="A11" s="4">
        <v>44927</v>
      </c>
      <c r="B11">
        <v>300000</v>
      </c>
      <c r="C11" t="s">
        <v>75</v>
      </c>
      <c r="D11" s="5" t="s">
        <v>76</v>
      </c>
      <c r="E11">
        <v>6.6110000000000002E-5</v>
      </c>
      <c r="F11" t="s">
        <v>58</v>
      </c>
      <c r="G11">
        <v>1.0308999999999999</v>
      </c>
      <c r="H11">
        <v>0.94781700000000002</v>
      </c>
      <c r="I11">
        <f t="shared" si="0"/>
        <v>19.3789144469349</v>
      </c>
    </row>
    <row r="12" spans="1:9" x14ac:dyDescent="0.2">
      <c r="A12" s="4">
        <v>44958</v>
      </c>
      <c r="B12">
        <v>220000</v>
      </c>
      <c r="C12" t="s">
        <v>75</v>
      </c>
      <c r="D12" s="5" t="s">
        <v>76</v>
      </c>
      <c r="E12">
        <v>6.5770000000000002E-5</v>
      </c>
      <c r="F12" t="s">
        <v>59</v>
      </c>
      <c r="G12">
        <v>1.0251999999999999</v>
      </c>
      <c r="H12">
        <v>0.94781700000000002</v>
      </c>
      <c r="I12">
        <f t="shared" si="0"/>
        <v>14.059944750954958</v>
      </c>
    </row>
    <row r="13" spans="1:9" x14ac:dyDescent="0.2">
      <c r="A13" s="4">
        <v>44986</v>
      </c>
      <c r="B13">
        <v>190000</v>
      </c>
      <c r="C13" t="s">
        <v>75</v>
      </c>
      <c r="D13" s="5" t="s">
        <v>76</v>
      </c>
      <c r="E13">
        <v>6.5179999999999996E-5</v>
      </c>
      <c r="F13" t="s">
        <v>60</v>
      </c>
      <c r="G13">
        <v>1.0218</v>
      </c>
      <c r="H13">
        <v>0.94781700000000002</v>
      </c>
      <c r="I13">
        <f t="shared" si="0"/>
        <v>11.993842716752521</v>
      </c>
    </row>
    <row r="14" spans="1:9" x14ac:dyDescent="0.2">
      <c r="A14" s="4">
        <v>45017</v>
      </c>
      <c r="B14">
        <v>170000</v>
      </c>
      <c r="C14" t="s">
        <v>75</v>
      </c>
      <c r="D14" s="5" t="s">
        <v>76</v>
      </c>
      <c r="E14">
        <v>6.656E-5</v>
      </c>
      <c r="F14" t="s">
        <v>61</v>
      </c>
      <c r="G14">
        <v>1.0166999999999999</v>
      </c>
      <c r="H14">
        <v>0.94781700000000002</v>
      </c>
      <c r="I14">
        <f t="shared" si="0"/>
        <v>10.903842058337281</v>
      </c>
    </row>
    <row r="15" spans="1:9" x14ac:dyDescent="0.2">
      <c r="A15" t="s">
        <v>65</v>
      </c>
      <c r="I15">
        <f>AVERAGE(I2:I14)</f>
        <v>26.676212098675951</v>
      </c>
    </row>
  </sheetData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75CD-3B9F-F541-9759-C7F71D47B912}">
  <dimension ref="A1:I15"/>
  <sheetViews>
    <sheetView workbookViewId="0">
      <selection activeCell="D14" sqref="D14"/>
    </sheetView>
  </sheetViews>
  <sheetFormatPr baseColWidth="10" defaultRowHeight="16" x14ac:dyDescent="0.2"/>
  <sheetData>
    <row r="1" spans="1:9" x14ac:dyDescent="0.2">
      <c r="A1" t="s">
        <v>45</v>
      </c>
      <c r="B1" t="s">
        <v>46</v>
      </c>
      <c r="C1" t="s">
        <v>1</v>
      </c>
      <c r="D1" t="s">
        <v>30</v>
      </c>
      <c r="E1" t="s">
        <v>80</v>
      </c>
      <c r="F1" t="s">
        <v>30</v>
      </c>
      <c r="G1" t="s">
        <v>64</v>
      </c>
      <c r="H1" t="s">
        <v>63</v>
      </c>
      <c r="I1" t="s">
        <v>62</v>
      </c>
    </row>
    <row r="2" spans="1:9" x14ac:dyDescent="0.2">
      <c r="A2" s="4">
        <v>44652</v>
      </c>
      <c r="B2">
        <v>128</v>
      </c>
      <c r="C2" t="s">
        <v>78</v>
      </c>
      <c r="D2" s="5" t="s">
        <v>79</v>
      </c>
      <c r="E2">
        <v>0.15679999999999999</v>
      </c>
      <c r="F2" t="s">
        <v>50</v>
      </c>
      <c r="G2">
        <v>1.0668</v>
      </c>
      <c r="H2">
        <v>0.94781700000000002</v>
      </c>
      <c r="I2">
        <f>B2*E2*G2*H2</f>
        <v>20.293807146762241</v>
      </c>
    </row>
    <row r="3" spans="1:9" x14ac:dyDescent="0.2">
      <c r="A3" s="4">
        <v>44682</v>
      </c>
      <c r="B3">
        <v>129</v>
      </c>
      <c r="C3" t="s">
        <v>78</v>
      </c>
      <c r="D3" s="5" t="s">
        <v>79</v>
      </c>
      <c r="E3">
        <v>0.1474</v>
      </c>
      <c r="F3" t="s">
        <v>50</v>
      </c>
      <c r="G3">
        <v>1.0551999999999999</v>
      </c>
      <c r="H3">
        <v>0.94781700000000002</v>
      </c>
      <c r="I3">
        <f t="shared" ref="I3:I14" si="0">B3*E3*G3*H3</f>
        <v>19.017195462476639</v>
      </c>
    </row>
    <row r="4" spans="1:9" x14ac:dyDescent="0.2">
      <c r="A4" s="4">
        <v>44713</v>
      </c>
      <c r="B4">
        <v>119</v>
      </c>
      <c r="C4" t="s">
        <v>78</v>
      </c>
      <c r="D4" s="5" t="s">
        <v>79</v>
      </c>
      <c r="E4">
        <v>0.14899999999999999</v>
      </c>
      <c r="F4" t="s">
        <v>51</v>
      </c>
      <c r="G4">
        <v>1.0408999999999999</v>
      </c>
      <c r="H4">
        <v>0.94781700000000002</v>
      </c>
      <c r="I4">
        <f t="shared" si="0"/>
        <v>17.493098124984297</v>
      </c>
    </row>
    <row r="5" spans="1:9" x14ac:dyDescent="0.2">
      <c r="A5" s="4">
        <v>44743</v>
      </c>
      <c r="B5">
        <v>108</v>
      </c>
      <c r="C5" t="s">
        <v>78</v>
      </c>
      <c r="D5" s="5" t="s">
        <v>79</v>
      </c>
      <c r="E5">
        <v>0.14799999999999999</v>
      </c>
      <c r="F5" t="s">
        <v>52</v>
      </c>
      <c r="G5">
        <v>1.0409999999999999</v>
      </c>
      <c r="H5">
        <v>0.94781700000000002</v>
      </c>
      <c r="I5">
        <f t="shared" si="0"/>
        <v>15.771053112047998</v>
      </c>
    </row>
    <row r="6" spans="1:9" x14ac:dyDescent="0.2">
      <c r="A6" s="4">
        <v>44774</v>
      </c>
      <c r="B6">
        <v>129</v>
      </c>
      <c r="C6" t="s">
        <v>78</v>
      </c>
      <c r="D6" s="5" t="s">
        <v>79</v>
      </c>
      <c r="E6">
        <v>0.14269999999999999</v>
      </c>
      <c r="F6" t="s">
        <v>53</v>
      </c>
      <c r="G6">
        <v>1.0412999999999999</v>
      </c>
      <c r="H6">
        <v>0.94781700000000002</v>
      </c>
      <c r="I6">
        <f t="shared" si="0"/>
        <v>18.16828967792943</v>
      </c>
    </row>
    <row r="7" spans="1:9" x14ac:dyDescent="0.2">
      <c r="A7" s="4">
        <v>44805</v>
      </c>
      <c r="B7">
        <v>118</v>
      </c>
      <c r="C7" t="s">
        <v>78</v>
      </c>
      <c r="D7" s="5" t="s">
        <v>79</v>
      </c>
      <c r="E7">
        <v>0.14269999999999999</v>
      </c>
      <c r="F7" t="s">
        <v>54</v>
      </c>
      <c r="G7">
        <v>1.0390999999999999</v>
      </c>
      <c r="H7">
        <v>0.94781700000000002</v>
      </c>
      <c r="I7">
        <f t="shared" si="0"/>
        <v>16.58394386944542</v>
      </c>
    </row>
    <row r="8" spans="1:9" x14ac:dyDescent="0.2">
      <c r="A8" s="4">
        <v>44835</v>
      </c>
      <c r="B8">
        <v>117</v>
      </c>
      <c r="C8" t="s">
        <v>78</v>
      </c>
      <c r="D8" s="5" t="s">
        <v>79</v>
      </c>
      <c r="E8">
        <v>0.13900000000000001</v>
      </c>
      <c r="F8" t="s">
        <v>55</v>
      </c>
      <c r="G8">
        <v>1.0348999999999999</v>
      </c>
      <c r="H8">
        <v>0.94781700000000002</v>
      </c>
      <c r="I8">
        <f t="shared" si="0"/>
        <v>15.9523086116979</v>
      </c>
    </row>
    <row r="9" spans="1:9" x14ac:dyDescent="0.2">
      <c r="A9" s="4">
        <v>44866</v>
      </c>
      <c r="B9">
        <v>91</v>
      </c>
      <c r="C9" t="s">
        <v>78</v>
      </c>
      <c r="D9" s="5" t="s">
        <v>79</v>
      </c>
      <c r="E9">
        <v>0.14050000000000001</v>
      </c>
      <c r="F9" t="s">
        <v>56</v>
      </c>
      <c r="G9">
        <v>1.036</v>
      </c>
      <c r="H9">
        <v>0.94781700000000002</v>
      </c>
      <c r="I9">
        <f t="shared" si="0"/>
        <v>12.554573566626001</v>
      </c>
    </row>
    <row r="10" spans="1:9" x14ac:dyDescent="0.2">
      <c r="A10" s="4">
        <v>44896</v>
      </c>
      <c r="B10">
        <v>131</v>
      </c>
      <c r="C10" t="s">
        <v>78</v>
      </c>
      <c r="D10" s="5" t="s">
        <v>79</v>
      </c>
      <c r="E10">
        <v>0.14330000000000001</v>
      </c>
      <c r="F10" t="s">
        <v>57</v>
      </c>
      <c r="G10">
        <v>1.0391999999999999</v>
      </c>
      <c r="H10">
        <v>0.94781700000000002</v>
      </c>
      <c r="I10">
        <f t="shared" si="0"/>
        <v>18.490179107808721</v>
      </c>
    </row>
    <row r="11" spans="1:9" x14ac:dyDescent="0.2">
      <c r="A11" s="4">
        <v>44927</v>
      </c>
      <c r="B11">
        <v>129</v>
      </c>
      <c r="C11" t="s">
        <v>78</v>
      </c>
      <c r="D11" s="5" t="s">
        <v>79</v>
      </c>
      <c r="E11">
        <v>0.1492</v>
      </c>
      <c r="F11" t="s">
        <v>58</v>
      </c>
      <c r="G11">
        <v>1.0308999999999999</v>
      </c>
      <c r="H11">
        <v>0.94781700000000002</v>
      </c>
      <c r="I11">
        <f t="shared" si="0"/>
        <v>18.806135762480039</v>
      </c>
    </row>
    <row r="12" spans="1:9" x14ac:dyDescent="0.2">
      <c r="A12" s="4">
        <v>44958</v>
      </c>
      <c r="B12">
        <v>120</v>
      </c>
      <c r="C12" t="s">
        <v>78</v>
      </c>
      <c r="D12" s="5" t="s">
        <v>79</v>
      </c>
      <c r="E12">
        <v>0.14580000000000001</v>
      </c>
      <c r="F12" t="s">
        <v>59</v>
      </c>
      <c r="G12">
        <v>1.0251999999999999</v>
      </c>
      <c r="H12">
        <v>0.94781700000000002</v>
      </c>
      <c r="I12">
        <f t="shared" si="0"/>
        <v>17.0008979890464</v>
      </c>
    </row>
    <row r="13" spans="1:9" x14ac:dyDescent="0.2">
      <c r="A13" s="4">
        <v>44986</v>
      </c>
      <c r="B13">
        <v>95</v>
      </c>
      <c r="C13" t="s">
        <v>78</v>
      </c>
      <c r="D13" s="5" t="s">
        <v>79</v>
      </c>
      <c r="E13">
        <v>0.14549999999999999</v>
      </c>
      <c r="F13" t="s">
        <v>60</v>
      </c>
      <c r="G13">
        <v>1.0218</v>
      </c>
      <c r="H13">
        <v>0.94781700000000002</v>
      </c>
      <c r="I13">
        <f t="shared" si="0"/>
        <v>13.386806653018501</v>
      </c>
    </row>
    <row r="14" spans="1:9" x14ac:dyDescent="0.2">
      <c r="A14" s="4">
        <v>45017</v>
      </c>
      <c r="B14">
        <v>85</v>
      </c>
      <c r="C14" t="s">
        <v>78</v>
      </c>
      <c r="D14" s="5" t="s">
        <v>79</v>
      </c>
      <c r="E14">
        <v>0.1454</v>
      </c>
      <c r="F14" t="s">
        <v>61</v>
      </c>
      <c r="G14">
        <v>1.0166999999999999</v>
      </c>
      <c r="H14">
        <v>0.94781700000000002</v>
      </c>
      <c r="I14">
        <f t="shared" si="0"/>
        <v>11.909695277060099</v>
      </c>
    </row>
    <row r="15" spans="1:9" x14ac:dyDescent="0.2">
      <c r="A15" t="s">
        <v>65</v>
      </c>
      <c r="I15">
        <f>AVERAGE(I2:I14)</f>
        <v>16.571383412414132</v>
      </c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D0056-9AB2-7746-984D-1601DA7AB337}">
  <dimension ref="A1:I15"/>
  <sheetViews>
    <sheetView workbookViewId="0">
      <selection activeCell="D14" sqref="D14"/>
    </sheetView>
  </sheetViews>
  <sheetFormatPr baseColWidth="10" defaultRowHeight="16" x14ac:dyDescent="0.2"/>
  <sheetData>
    <row r="1" spans="1:9" x14ac:dyDescent="0.2">
      <c r="A1" t="s">
        <v>45</v>
      </c>
      <c r="B1" t="s">
        <v>46</v>
      </c>
      <c r="C1" t="s">
        <v>1</v>
      </c>
      <c r="D1" t="s">
        <v>30</v>
      </c>
      <c r="E1" t="s">
        <v>80</v>
      </c>
      <c r="F1" t="s">
        <v>30</v>
      </c>
      <c r="G1" t="s">
        <v>64</v>
      </c>
      <c r="H1" t="s">
        <v>63</v>
      </c>
      <c r="I1" t="s">
        <v>62</v>
      </c>
    </row>
    <row r="2" spans="1:9" x14ac:dyDescent="0.2">
      <c r="A2" s="4">
        <v>44652</v>
      </c>
      <c r="B2">
        <v>16</v>
      </c>
      <c r="C2" t="s">
        <v>81</v>
      </c>
      <c r="D2" s="5" t="s">
        <v>82</v>
      </c>
      <c r="E2">
        <v>0.73939999999999995</v>
      </c>
      <c r="F2" t="s">
        <v>50</v>
      </c>
      <c r="G2">
        <v>1.0668</v>
      </c>
      <c r="H2">
        <v>0.94781700000000002</v>
      </c>
      <c r="I2">
        <f>B2*E2*G2*H2</f>
        <v>11.962086259818239</v>
      </c>
    </row>
    <row r="3" spans="1:9" x14ac:dyDescent="0.2">
      <c r="A3" s="4">
        <v>44682</v>
      </c>
      <c r="B3">
        <v>24</v>
      </c>
      <c r="C3" t="s">
        <v>81</v>
      </c>
      <c r="D3" s="5" t="s">
        <v>82</v>
      </c>
      <c r="E3">
        <v>0.69569999999999999</v>
      </c>
      <c r="F3" t="s">
        <v>50</v>
      </c>
      <c r="G3">
        <v>1.0551999999999999</v>
      </c>
      <c r="H3">
        <v>0.94781700000000002</v>
      </c>
      <c r="I3">
        <f t="shared" ref="I3:I14" si="0">B3*E3*G3*H3</f>
        <v>16.699079086485121</v>
      </c>
    </row>
    <row r="4" spans="1:9" x14ac:dyDescent="0.2">
      <c r="A4" s="4">
        <v>44713</v>
      </c>
      <c r="B4">
        <v>42</v>
      </c>
      <c r="C4" t="s">
        <v>81</v>
      </c>
      <c r="D4" s="5" t="s">
        <v>82</v>
      </c>
      <c r="E4">
        <v>0.69289999999999996</v>
      </c>
      <c r="F4" t="s">
        <v>51</v>
      </c>
      <c r="G4">
        <v>1.0408999999999999</v>
      </c>
      <c r="H4">
        <v>0.94781700000000002</v>
      </c>
      <c r="I4">
        <f t="shared" si="0"/>
        <v>28.711332864117537</v>
      </c>
    </row>
    <row r="5" spans="1:9" x14ac:dyDescent="0.2">
      <c r="A5" s="4">
        <v>44743</v>
      </c>
      <c r="B5">
        <v>39</v>
      </c>
      <c r="C5" t="s">
        <v>81</v>
      </c>
      <c r="D5" s="5" t="s">
        <v>82</v>
      </c>
      <c r="E5">
        <v>0.68989999999999996</v>
      </c>
      <c r="F5" t="s">
        <v>52</v>
      </c>
      <c r="G5">
        <v>1.0409999999999999</v>
      </c>
      <c r="H5">
        <v>0.94781700000000002</v>
      </c>
      <c r="I5">
        <f t="shared" si="0"/>
        <v>26.547643402031696</v>
      </c>
    </row>
    <row r="6" spans="1:9" x14ac:dyDescent="0.2">
      <c r="A6" s="4">
        <v>44774</v>
      </c>
      <c r="B6">
        <v>17.5</v>
      </c>
      <c r="C6" t="s">
        <v>81</v>
      </c>
      <c r="D6" s="5" t="s">
        <v>82</v>
      </c>
      <c r="E6">
        <v>0.70230000000000004</v>
      </c>
      <c r="F6" t="s">
        <v>53</v>
      </c>
      <c r="G6">
        <v>1.0412999999999999</v>
      </c>
      <c r="H6">
        <v>0.94781700000000002</v>
      </c>
      <c r="I6">
        <f t="shared" si="0"/>
        <v>12.130007779869524</v>
      </c>
    </row>
    <row r="7" spans="1:9" x14ac:dyDescent="0.2">
      <c r="A7" s="4">
        <v>44805</v>
      </c>
      <c r="B7">
        <v>20</v>
      </c>
      <c r="C7" t="s">
        <v>81</v>
      </c>
      <c r="D7" s="5" t="s">
        <v>82</v>
      </c>
      <c r="E7">
        <v>0.67500000000000004</v>
      </c>
      <c r="F7" t="s">
        <v>54</v>
      </c>
      <c r="G7">
        <v>1.0390999999999999</v>
      </c>
      <c r="H7">
        <v>0.94781700000000002</v>
      </c>
      <c r="I7">
        <f t="shared" si="0"/>
        <v>13.29583470345</v>
      </c>
    </row>
    <row r="8" spans="1:9" x14ac:dyDescent="0.2">
      <c r="A8" s="4">
        <v>44835</v>
      </c>
      <c r="B8">
        <v>20</v>
      </c>
      <c r="C8" t="s">
        <v>81</v>
      </c>
      <c r="D8" s="5" t="s">
        <v>82</v>
      </c>
      <c r="E8">
        <v>0.61990000000000001</v>
      </c>
      <c r="F8" t="s">
        <v>55</v>
      </c>
      <c r="G8">
        <v>1.0348999999999999</v>
      </c>
      <c r="H8">
        <v>0.94781700000000002</v>
      </c>
      <c r="I8">
        <f t="shared" si="0"/>
        <v>12.161146293293399</v>
      </c>
    </row>
    <row r="9" spans="1:9" x14ac:dyDescent="0.2">
      <c r="A9" s="4">
        <v>44866</v>
      </c>
      <c r="B9">
        <v>19</v>
      </c>
      <c r="C9" t="s">
        <v>81</v>
      </c>
      <c r="D9" s="5" t="s">
        <v>82</v>
      </c>
      <c r="E9">
        <v>0.66859999999999997</v>
      </c>
      <c r="F9" t="s">
        <v>56</v>
      </c>
      <c r="G9">
        <v>1.036</v>
      </c>
      <c r="H9">
        <v>0.94781700000000002</v>
      </c>
      <c r="I9">
        <f t="shared" si="0"/>
        <v>12.473956423000802</v>
      </c>
    </row>
    <row r="10" spans="1:9" x14ac:dyDescent="0.2">
      <c r="A10" s="4">
        <v>44896</v>
      </c>
      <c r="B10">
        <v>15</v>
      </c>
      <c r="C10" t="s">
        <v>81</v>
      </c>
      <c r="D10" s="5" t="s">
        <v>82</v>
      </c>
      <c r="E10">
        <v>0.68589999999999995</v>
      </c>
      <c r="F10" t="s">
        <v>57</v>
      </c>
      <c r="G10">
        <v>1.0391999999999999</v>
      </c>
      <c r="H10">
        <v>0.94781700000000002</v>
      </c>
      <c r="I10">
        <f t="shared" si="0"/>
        <v>10.133878520516399</v>
      </c>
    </row>
    <row r="11" spans="1:9" x14ac:dyDescent="0.2">
      <c r="A11" s="4">
        <v>44927</v>
      </c>
      <c r="B11">
        <v>13</v>
      </c>
      <c r="C11" t="s">
        <v>81</v>
      </c>
      <c r="D11" s="5" t="s">
        <v>82</v>
      </c>
      <c r="E11">
        <v>0.6956</v>
      </c>
      <c r="F11" t="s">
        <v>58</v>
      </c>
      <c r="G11">
        <v>1.0308999999999999</v>
      </c>
      <c r="H11">
        <v>0.94781700000000002</v>
      </c>
      <c r="I11">
        <f t="shared" si="0"/>
        <v>8.8357609822388383</v>
      </c>
    </row>
    <row r="12" spans="1:9" x14ac:dyDescent="0.2">
      <c r="A12" s="4">
        <v>44958</v>
      </c>
      <c r="B12">
        <v>14</v>
      </c>
      <c r="C12" t="s">
        <v>81</v>
      </c>
      <c r="D12" s="5" t="s">
        <v>82</v>
      </c>
      <c r="E12">
        <v>0.6915</v>
      </c>
      <c r="F12" t="s">
        <v>59</v>
      </c>
      <c r="G12">
        <v>1.0251999999999999</v>
      </c>
      <c r="H12">
        <v>0.94781700000000002</v>
      </c>
      <c r="I12">
        <f t="shared" si="0"/>
        <v>9.4070469497004012</v>
      </c>
    </row>
    <row r="13" spans="1:9" x14ac:dyDescent="0.2">
      <c r="A13" s="4">
        <v>44986</v>
      </c>
      <c r="B13">
        <v>9</v>
      </c>
      <c r="C13" t="s">
        <v>81</v>
      </c>
      <c r="D13" s="5" t="s">
        <v>82</v>
      </c>
      <c r="E13">
        <v>0.66549999999999998</v>
      </c>
      <c r="F13" t="s">
        <v>60</v>
      </c>
      <c r="G13">
        <v>1.0218</v>
      </c>
      <c r="H13">
        <v>0.94781700000000002</v>
      </c>
      <c r="I13">
        <f t="shared" si="0"/>
        <v>5.8007074297886998</v>
      </c>
    </row>
    <row r="14" spans="1:9" x14ac:dyDescent="0.2">
      <c r="A14" s="4">
        <v>45017</v>
      </c>
      <c r="B14">
        <v>12</v>
      </c>
      <c r="C14" t="s">
        <v>81</v>
      </c>
      <c r="D14" s="5" t="s">
        <v>82</v>
      </c>
      <c r="E14">
        <v>0.66990000000000005</v>
      </c>
      <c r="F14" t="s">
        <v>61</v>
      </c>
      <c r="G14">
        <v>1.0166999999999999</v>
      </c>
      <c r="H14">
        <v>0.94781700000000002</v>
      </c>
      <c r="I14">
        <f t="shared" si="0"/>
        <v>7.7465537983033199</v>
      </c>
    </row>
    <row r="15" spans="1:9" x14ac:dyDescent="0.2">
      <c r="A15" t="s">
        <v>65</v>
      </c>
      <c r="I15">
        <f>AVERAGE(I2:I14)</f>
        <v>13.531156499431846</v>
      </c>
    </row>
  </sheetData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4BD27-2418-9540-AFF4-B0A7C8A994A6}">
  <dimension ref="A1:I15"/>
  <sheetViews>
    <sheetView workbookViewId="0">
      <selection activeCell="D14" sqref="D14"/>
    </sheetView>
  </sheetViews>
  <sheetFormatPr baseColWidth="10" defaultRowHeight="16" x14ac:dyDescent="0.2"/>
  <sheetData>
    <row r="1" spans="1:9" x14ac:dyDescent="0.2">
      <c r="A1" t="s">
        <v>45</v>
      </c>
      <c r="B1" t="s">
        <v>46</v>
      </c>
      <c r="C1" t="s">
        <v>1</v>
      </c>
      <c r="D1" t="s">
        <v>30</v>
      </c>
      <c r="E1" t="s">
        <v>85</v>
      </c>
      <c r="F1" t="s">
        <v>30</v>
      </c>
      <c r="G1" t="s">
        <v>64</v>
      </c>
      <c r="H1" t="s">
        <v>63</v>
      </c>
      <c r="I1" t="s">
        <v>62</v>
      </c>
    </row>
    <row r="2" spans="1:9" x14ac:dyDescent="0.2">
      <c r="A2" s="4">
        <v>44652</v>
      </c>
      <c r="B2">
        <v>315</v>
      </c>
      <c r="C2" t="s">
        <v>84</v>
      </c>
      <c r="D2" s="5" t="s">
        <v>83</v>
      </c>
      <c r="E2">
        <v>2.9690000000000001E-2</v>
      </c>
      <c r="F2" t="s">
        <v>50</v>
      </c>
      <c r="G2">
        <v>1.0668</v>
      </c>
      <c r="H2">
        <v>0.94781700000000002</v>
      </c>
      <c r="I2">
        <f>B2*E2*G2*H2</f>
        <v>9.4564526501226602</v>
      </c>
    </row>
    <row r="3" spans="1:9" x14ac:dyDescent="0.2">
      <c r="A3" s="4">
        <v>44682</v>
      </c>
      <c r="B3">
        <v>315</v>
      </c>
      <c r="C3" t="s">
        <v>84</v>
      </c>
      <c r="D3" s="5" t="s">
        <v>83</v>
      </c>
      <c r="E3">
        <v>2.811E-2</v>
      </c>
      <c r="F3" t="s">
        <v>50</v>
      </c>
      <c r="G3">
        <v>1.0551999999999999</v>
      </c>
      <c r="H3">
        <v>0.94781700000000002</v>
      </c>
      <c r="I3">
        <f t="shared" ref="I3:I14" si="0">B3*E3*G3*H3</f>
        <v>8.855858645557559</v>
      </c>
    </row>
    <row r="4" spans="1:9" x14ac:dyDescent="0.2">
      <c r="A4" s="4">
        <v>44713</v>
      </c>
      <c r="B4">
        <v>315</v>
      </c>
      <c r="C4" t="s">
        <v>84</v>
      </c>
      <c r="D4" s="5" t="s">
        <v>83</v>
      </c>
      <c r="E4">
        <v>2.8719999999999999E-2</v>
      </c>
      <c r="F4" t="s">
        <v>51</v>
      </c>
      <c r="G4">
        <v>1.0408999999999999</v>
      </c>
      <c r="H4">
        <v>0.94781700000000002</v>
      </c>
      <c r="I4">
        <f t="shared" si="0"/>
        <v>8.9254165087760384</v>
      </c>
    </row>
    <row r="5" spans="1:9" x14ac:dyDescent="0.2">
      <c r="A5" s="4">
        <v>44743</v>
      </c>
      <c r="B5">
        <v>315</v>
      </c>
      <c r="C5" t="s">
        <v>84</v>
      </c>
      <c r="D5" s="5" t="s">
        <v>83</v>
      </c>
      <c r="E5">
        <v>2.7650000000000001E-2</v>
      </c>
      <c r="F5" t="s">
        <v>52</v>
      </c>
      <c r="G5">
        <v>1.0409999999999999</v>
      </c>
      <c r="H5">
        <v>0.94781700000000002</v>
      </c>
      <c r="I5">
        <f t="shared" si="0"/>
        <v>8.5937143294957501</v>
      </c>
    </row>
    <row r="6" spans="1:9" x14ac:dyDescent="0.2">
      <c r="A6" s="4">
        <v>44774</v>
      </c>
      <c r="B6">
        <v>315</v>
      </c>
      <c r="C6" t="s">
        <v>84</v>
      </c>
      <c r="D6" s="5" t="s">
        <v>83</v>
      </c>
      <c r="E6">
        <v>2.8139999999999998E-2</v>
      </c>
      <c r="F6" t="s">
        <v>53</v>
      </c>
      <c r="G6">
        <v>1.0412999999999999</v>
      </c>
      <c r="H6">
        <v>0.94781700000000002</v>
      </c>
      <c r="I6">
        <f t="shared" si="0"/>
        <v>8.7485284645586088</v>
      </c>
    </row>
    <row r="7" spans="1:9" x14ac:dyDescent="0.2">
      <c r="A7" s="4">
        <v>44805</v>
      </c>
      <c r="B7">
        <v>335</v>
      </c>
      <c r="C7" t="s">
        <v>84</v>
      </c>
      <c r="D7" s="5" t="s">
        <v>83</v>
      </c>
      <c r="E7">
        <v>2.717E-2</v>
      </c>
      <c r="F7" t="s">
        <v>54</v>
      </c>
      <c r="G7">
        <v>1.0390999999999999</v>
      </c>
      <c r="H7">
        <v>0.94781700000000002</v>
      </c>
      <c r="I7">
        <f t="shared" si="0"/>
        <v>8.9642979762271651</v>
      </c>
    </row>
    <row r="8" spans="1:9" x14ac:dyDescent="0.2">
      <c r="A8" s="4">
        <v>44835</v>
      </c>
      <c r="B8">
        <v>335</v>
      </c>
      <c r="C8" t="s">
        <v>84</v>
      </c>
      <c r="D8" s="5" t="s">
        <v>83</v>
      </c>
      <c r="E8">
        <v>2.613E-2</v>
      </c>
      <c r="F8" t="s">
        <v>55</v>
      </c>
      <c r="G8">
        <v>1.0348999999999999</v>
      </c>
      <c r="H8">
        <v>0.94781700000000002</v>
      </c>
      <c r="I8">
        <f t="shared" si="0"/>
        <v>8.5863205465122157</v>
      </c>
    </row>
    <row r="9" spans="1:9" x14ac:dyDescent="0.2">
      <c r="A9" s="4">
        <v>44866</v>
      </c>
      <c r="B9">
        <v>335</v>
      </c>
      <c r="C9" t="s">
        <v>84</v>
      </c>
      <c r="D9" s="5" t="s">
        <v>83</v>
      </c>
      <c r="E9">
        <v>2.7900000000000001E-2</v>
      </c>
      <c r="F9" t="s">
        <v>56</v>
      </c>
      <c r="G9">
        <v>1.036</v>
      </c>
      <c r="H9">
        <v>0.94781700000000002</v>
      </c>
      <c r="I9">
        <f t="shared" si="0"/>
        <v>9.1776873677580024</v>
      </c>
    </row>
    <row r="10" spans="1:9" x14ac:dyDescent="0.2">
      <c r="A10" s="4">
        <v>44896</v>
      </c>
      <c r="B10">
        <v>355</v>
      </c>
      <c r="C10" t="s">
        <v>84</v>
      </c>
      <c r="D10" s="5" t="s">
        <v>83</v>
      </c>
      <c r="E10">
        <v>2.8729999999999999E-2</v>
      </c>
      <c r="F10" t="s">
        <v>57</v>
      </c>
      <c r="G10">
        <v>1.0391999999999999</v>
      </c>
      <c r="H10">
        <v>0.94781700000000002</v>
      </c>
      <c r="I10">
        <f t="shared" si="0"/>
        <v>10.045871323567559</v>
      </c>
    </row>
    <row r="11" spans="1:9" x14ac:dyDescent="0.2">
      <c r="A11" s="4">
        <v>44927</v>
      </c>
      <c r="B11">
        <v>355</v>
      </c>
      <c r="C11" t="s">
        <v>84</v>
      </c>
      <c r="D11" s="5" t="s">
        <v>83</v>
      </c>
      <c r="E11">
        <v>3.0249999999999999E-2</v>
      </c>
      <c r="F11" t="s">
        <v>58</v>
      </c>
      <c r="G11">
        <v>1.0308999999999999</v>
      </c>
      <c r="H11">
        <v>0.94781700000000002</v>
      </c>
      <c r="I11">
        <f t="shared" si="0"/>
        <v>10.492881435840374</v>
      </c>
    </row>
    <row r="12" spans="1:9" x14ac:dyDescent="0.2">
      <c r="A12" s="4">
        <v>44958</v>
      </c>
      <c r="B12">
        <v>355</v>
      </c>
      <c r="C12" t="s">
        <v>84</v>
      </c>
      <c r="D12" s="5" t="s">
        <v>83</v>
      </c>
      <c r="E12">
        <v>2.9100000000000001E-2</v>
      </c>
      <c r="F12" t="s">
        <v>59</v>
      </c>
      <c r="G12">
        <v>1.0251999999999999</v>
      </c>
      <c r="H12">
        <v>0.94781700000000002</v>
      </c>
      <c r="I12">
        <f t="shared" si="0"/>
        <v>10.038167391166199</v>
      </c>
    </row>
    <row r="13" spans="1:9" x14ac:dyDescent="0.2">
      <c r="A13" s="4">
        <v>44986</v>
      </c>
      <c r="B13">
        <v>355</v>
      </c>
      <c r="C13" t="s">
        <v>84</v>
      </c>
      <c r="D13" s="5" t="s">
        <v>83</v>
      </c>
      <c r="E13">
        <v>2.9059999999999999E-2</v>
      </c>
      <c r="F13" t="s">
        <v>60</v>
      </c>
      <c r="G13">
        <v>1.0218</v>
      </c>
      <c r="H13">
        <v>0.94781700000000002</v>
      </c>
      <c r="I13">
        <f t="shared" si="0"/>
        <v>9.9911241435727796</v>
      </c>
    </row>
    <row r="14" spans="1:9" x14ac:dyDescent="0.2">
      <c r="A14" s="4">
        <v>45017</v>
      </c>
      <c r="B14">
        <v>355</v>
      </c>
      <c r="C14" t="s">
        <v>84</v>
      </c>
      <c r="D14" s="5" t="s">
        <v>83</v>
      </c>
      <c r="E14">
        <v>2.9159999999999998E-2</v>
      </c>
      <c r="F14" t="s">
        <v>61</v>
      </c>
      <c r="G14">
        <v>1.0166999999999999</v>
      </c>
      <c r="H14">
        <v>0.94781700000000002</v>
      </c>
      <c r="I14">
        <f t="shared" si="0"/>
        <v>9.9754659413440177</v>
      </c>
    </row>
    <row r="15" spans="1:9" x14ac:dyDescent="0.2">
      <c r="A15" t="s">
        <v>65</v>
      </c>
      <c r="I15">
        <f>AVERAGE(I2:I14)</f>
        <v>9.3732143634229921</v>
      </c>
    </row>
  </sheetData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9CC02-E8C1-0241-86E3-3DCC532DD595}">
  <dimension ref="A1:F28"/>
  <sheetViews>
    <sheetView workbookViewId="0">
      <selection activeCell="F28" sqref="F28"/>
    </sheetView>
  </sheetViews>
  <sheetFormatPr baseColWidth="10" defaultRowHeight="16" x14ac:dyDescent="0.2"/>
  <sheetData>
    <row r="1" spans="1:6" x14ac:dyDescent="0.2">
      <c r="A1" t="s">
        <v>3</v>
      </c>
      <c r="B1" t="s">
        <v>0</v>
      </c>
      <c r="C1" t="s">
        <v>30</v>
      </c>
      <c r="D1" t="s">
        <v>1</v>
      </c>
      <c r="E1" t="s">
        <v>43</v>
      </c>
      <c r="F1" t="s">
        <v>2</v>
      </c>
    </row>
    <row r="2" spans="1:6" x14ac:dyDescent="0.2">
      <c r="A2" s="1"/>
    </row>
    <row r="3" spans="1:6" x14ac:dyDescent="0.2">
      <c r="A3" s="1" t="s">
        <v>4</v>
      </c>
      <c r="B3" s="2">
        <v>3.7999999999999999E-2</v>
      </c>
      <c r="C3" t="s">
        <v>66</v>
      </c>
      <c r="D3" t="s">
        <v>67</v>
      </c>
      <c r="E3" s="3">
        <v>277.77777800000001</v>
      </c>
      <c r="F3">
        <f>B3*E3</f>
        <v>10.555555564000001</v>
      </c>
    </row>
    <row r="4" spans="1:6" x14ac:dyDescent="0.2">
      <c r="A4" s="1" t="s">
        <v>5</v>
      </c>
      <c r="B4" s="2">
        <v>0.16800000000000001</v>
      </c>
      <c r="C4" t="s">
        <v>66</v>
      </c>
      <c r="D4" t="s">
        <v>67</v>
      </c>
      <c r="E4" s="3">
        <v>277.77777800000001</v>
      </c>
      <c r="F4">
        <f t="shared" ref="F4:F28" si="0">B4*E4</f>
        <v>46.666666704000008</v>
      </c>
    </row>
    <row r="5" spans="1:6" x14ac:dyDescent="0.2">
      <c r="A5" s="1" t="s">
        <v>6</v>
      </c>
      <c r="B5" s="2">
        <v>0.183</v>
      </c>
      <c r="C5" t="s">
        <v>66</v>
      </c>
      <c r="D5" t="s">
        <v>67</v>
      </c>
      <c r="E5" s="3">
        <v>277.77777800000001</v>
      </c>
      <c r="F5">
        <f t="shared" si="0"/>
        <v>50.833333373999999</v>
      </c>
    </row>
    <row r="6" spans="1:6" x14ac:dyDescent="0.2">
      <c r="A6" s="1" t="s">
        <v>7</v>
      </c>
      <c r="B6" s="2">
        <v>0.114</v>
      </c>
      <c r="C6" t="s">
        <v>66</v>
      </c>
      <c r="D6" t="s">
        <v>67</v>
      </c>
      <c r="E6" s="3">
        <v>277.77777800000001</v>
      </c>
      <c r="F6">
        <f t="shared" si="0"/>
        <v>31.666666692000003</v>
      </c>
    </row>
    <row r="7" spans="1:6" x14ac:dyDescent="0.2">
      <c r="A7" s="1" t="s">
        <v>8</v>
      </c>
      <c r="B7" s="2">
        <v>0.128</v>
      </c>
      <c r="C7" t="s">
        <v>66</v>
      </c>
      <c r="D7" t="s">
        <v>67</v>
      </c>
      <c r="E7" s="3">
        <v>277.77777800000001</v>
      </c>
      <c r="F7">
        <f t="shared" si="0"/>
        <v>35.555555584000004</v>
      </c>
    </row>
    <row r="8" spans="1:6" x14ac:dyDescent="0.2">
      <c r="A8" s="1" t="s">
        <v>9</v>
      </c>
      <c r="B8" s="2">
        <v>0.107</v>
      </c>
      <c r="C8" t="s">
        <v>66</v>
      </c>
      <c r="D8" t="s">
        <v>67</v>
      </c>
      <c r="E8" s="3">
        <v>277.77777800000001</v>
      </c>
      <c r="F8">
        <f t="shared" si="0"/>
        <v>29.722222246000001</v>
      </c>
    </row>
    <row r="9" spans="1:6" x14ac:dyDescent="0.2">
      <c r="A9" s="1" t="s">
        <v>10</v>
      </c>
      <c r="B9" s="2">
        <v>0.114</v>
      </c>
      <c r="C9" t="s">
        <v>66</v>
      </c>
      <c r="D9" t="s">
        <v>67</v>
      </c>
      <c r="E9" s="3">
        <v>277.77777800000001</v>
      </c>
      <c r="F9">
        <f t="shared" si="0"/>
        <v>31.666666692000003</v>
      </c>
    </row>
    <row r="10" spans="1:6" x14ac:dyDescent="0.2">
      <c r="A10" s="1" t="s">
        <v>11</v>
      </c>
      <c r="B10" s="2">
        <v>9.9000000000000005E-2</v>
      </c>
      <c r="C10" t="s">
        <v>66</v>
      </c>
      <c r="D10" t="s">
        <v>67</v>
      </c>
      <c r="E10" s="3">
        <v>277.77777800000001</v>
      </c>
      <c r="F10">
        <f t="shared" si="0"/>
        <v>27.500000022000002</v>
      </c>
    </row>
    <row r="11" spans="1:6" x14ac:dyDescent="0.2">
      <c r="A11" s="1" t="s">
        <v>12</v>
      </c>
      <c r="B11" s="2">
        <v>9.9000000000000005E-2</v>
      </c>
      <c r="C11" t="s">
        <v>66</v>
      </c>
      <c r="D11" t="s">
        <v>67</v>
      </c>
      <c r="E11" s="3">
        <v>277.77777800000001</v>
      </c>
      <c r="F11">
        <f t="shared" si="0"/>
        <v>27.500000022000002</v>
      </c>
    </row>
    <row r="12" spans="1:6" x14ac:dyDescent="0.2">
      <c r="A12" s="1" t="s">
        <v>13</v>
      </c>
      <c r="B12" s="2">
        <v>0.111</v>
      </c>
      <c r="C12" t="s">
        <v>66</v>
      </c>
      <c r="D12" t="s">
        <v>67</v>
      </c>
      <c r="E12" s="3">
        <v>277.77777800000001</v>
      </c>
      <c r="F12">
        <f t="shared" si="0"/>
        <v>30.833333358000001</v>
      </c>
    </row>
    <row r="13" spans="1:6" x14ac:dyDescent="0.2">
      <c r="A13" s="1" t="s">
        <v>14</v>
      </c>
      <c r="B13" s="2">
        <v>0.109</v>
      </c>
      <c r="C13" t="s">
        <v>66</v>
      </c>
      <c r="D13" t="s">
        <v>67</v>
      </c>
      <c r="E13" s="3">
        <v>277.77777800000001</v>
      </c>
      <c r="F13">
        <f t="shared" si="0"/>
        <v>30.277777802000003</v>
      </c>
    </row>
    <row r="14" spans="1:6" x14ac:dyDescent="0.2">
      <c r="A14" s="1" t="s">
        <v>15</v>
      </c>
      <c r="B14" s="2">
        <v>8.1000000000000003E-2</v>
      </c>
      <c r="C14" t="s">
        <v>66</v>
      </c>
      <c r="D14" t="s">
        <v>67</v>
      </c>
      <c r="E14" s="3">
        <v>277.77777800000001</v>
      </c>
      <c r="F14">
        <f t="shared" si="0"/>
        <v>22.500000018000001</v>
      </c>
    </row>
    <row r="15" spans="1:6" x14ac:dyDescent="0.2">
      <c r="A15" s="1" t="s">
        <v>16</v>
      </c>
      <c r="B15" s="2">
        <v>8.1000000000000003E-2</v>
      </c>
      <c r="C15" t="s">
        <v>66</v>
      </c>
      <c r="D15" t="s">
        <v>67</v>
      </c>
      <c r="E15" s="3">
        <v>277.77777800000001</v>
      </c>
      <c r="F15">
        <f t="shared" si="0"/>
        <v>22.500000018000001</v>
      </c>
    </row>
    <row r="16" spans="1:6" x14ac:dyDescent="0.2">
      <c r="A16" s="1" t="s">
        <v>17</v>
      </c>
      <c r="B16" s="2">
        <v>0.17</v>
      </c>
      <c r="C16" t="s">
        <v>66</v>
      </c>
      <c r="D16" t="s">
        <v>67</v>
      </c>
      <c r="E16" s="3">
        <v>277.77777800000001</v>
      </c>
      <c r="F16">
        <f t="shared" si="0"/>
        <v>47.222222260000002</v>
      </c>
    </row>
    <row r="17" spans="1:6" x14ac:dyDescent="0.2">
      <c r="A17" s="1" t="s">
        <v>18</v>
      </c>
      <c r="B17" s="2">
        <v>8.2000000000000003E-2</v>
      </c>
      <c r="C17" t="s">
        <v>66</v>
      </c>
      <c r="D17" t="s">
        <v>67</v>
      </c>
      <c r="E17" s="3">
        <v>277.77777800000001</v>
      </c>
      <c r="F17">
        <f t="shared" si="0"/>
        <v>22.777777796000002</v>
      </c>
    </row>
    <row r="18" spans="1:6" x14ac:dyDescent="0.2">
      <c r="A18" s="1" t="s">
        <v>19</v>
      </c>
      <c r="B18" s="2">
        <v>8.5999999999999993E-2</v>
      </c>
      <c r="C18" t="s">
        <v>66</v>
      </c>
      <c r="D18" t="s">
        <v>67</v>
      </c>
      <c r="E18" s="3">
        <v>277.77777800000001</v>
      </c>
      <c r="F18">
        <f t="shared" si="0"/>
        <v>23.888888907999998</v>
      </c>
    </row>
    <row r="19" spans="1:6" x14ac:dyDescent="0.2">
      <c r="A19" s="1" t="s">
        <v>20</v>
      </c>
      <c r="B19" s="2">
        <v>6.3E-2</v>
      </c>
      <c r="C19" t="s">
        <v>66</v>
      </c>
      <c r="D19" t="s">
        <v>67</v>
      </c>
      <c r="E19" s="3">
        <v>277.77777800000001</v>
      </c>
      <c r="F19">
        <f t="shared" si="0"/>
        <v>17.500000014000001</v>
      </c>
    </row>
    <row r="20" spans="1:6" x14ac:dyDescent="0.2">
      <c r="A20" s="1" t="s">
        <v>21</v>
      </c>
      <c r="B20" s="2">
        <v>9.1999999999999998E-2</v>
      </c>
      <c r="C20" t="s">
        <v>66</v>
      </c>
      <c r="D20" t="s">
        <v>67</v>
      </c>
      <c r="E20" s="3">
        <v>277.77777800000001</v>
      </c>
      <c r="F20">
        <f t="shared" si="0"/>
        <v>25.555555576</v>
      </c>
    </row>
    <row r="21" spans="1:6" x14ac:dyDescent="0.2">
      <c r="A21" s="1" t="s">
        <v>22</v>
      </c>
      <c r="B21" s="2">
        <v>0.06</v>
      </c>
      <c r="C21" t="s">
        <v>66</v>
      </c>
      <c r="D21" t="s">
        <v>67</v>
      </c>
      <c r="E21" s="3">
        <v>277.77777800000001</v>
      </c>
      <c r="F21">
        <f t="shared" si="0"/>
        <v>16.666666679999999</v>
      </c>
    </row>
    <row r="22" spans="1:6" x14ac:dyDescent="0.2">
      <c r="A22" s="1" t="s">
        <v>23</v>
      </c>
      <c r="B22" s="2">
        <v>6.8000000000000005E-2</v>
      </c>
      <c r="C22" t="s">
        <v>66</v>
      </c>
      <c r="D22" t="s">
        <v>67</v>
      </c>
      <c r="E22" s="3">
        <v>277.77777800000001</v>
      </c>
      <c r="F22">
        <f t="shared" si="0"/>
        <v>18.888888904000002</v>
      </c>
    </row>
    <row r="23" spans="1:6" x14ac:dyDescent="0.2">
      <c r="A23" s="1" t="s">
        <v>24</v>
      </c>
      <c r="B23" s="2">
        <v>3.6999999999999998E-2</v>
      </c>
      <c r="C23" t="s">
        <v>66</v>
      </c>
      <c r="D23" t="s">
        <v>67</v>
      </c>
      <c r="E23" s="3">
        <v>277.77777800000001</v>
      </c>
      <c r="F23">
        <f t="shared" si="0"/>
        <v>10.277777786</v>
      </c>
    </row>
    <row r="24" spans="1:6" x14ac:dyDescent="0.2">
      <c r="A24" s="1" t="s">
        <v>25</v>
      </c>
      <c r="B24" s="2">
        <v>3.3000000000000002E-2</v>
      </c>
      <c r="C24" t="s">
        <v>66</v>
      </c>
      <c r="D24" t="s">
        <v>67</v>
      </c>
      <c r="E24" s="3">
        <v>277.77777800000001</v>
      </c>
      <c r="F24">
        <f t="shared" si="0"/>
        <v>9.166666674</v>
      </c>
    </row>
    <row r="25" spans="1:6" x14ac:dyDescent="0.2">
      <c r="A25" s="1" t="s">
        <v>26</v>
      </c>
      <c r="B25">
        <v>3.1E-2</v>
      </c>
      <c r="C25" t="s">
        <v>66</v>
      </c>
      <c r="D25" t="s">
        <v>67</v>
      </c>
      <c r="E25" s="3">
        <v>277.77777800000001</v>
      </c>
      <c r="F25">
        <f t="shared" si="0"/>
        <v>8.6111111180000002</v>
      </c>
    </row>
    <row r="26" spans="1:6" x14ac:dyDescent="0.2">
      <c r="A26" s="1" t="s">
        <v>27</v>
      </c>
      <c r="B26">
        <v>2.1999999999999999E-2</v>
      </c>
      <c r="C26" t="s">
        <v>66</v>
      </c>
      <c r="D26" t="s">
        <v>67</v>
      </c>
      <c r="E26" s="3">
        <v>277.77777800000001</v>
      </c>
      <c r="F26">
        <f t="shared" si="0"/>
        <v>6.111111116</v>
      </c>
    </row>
    <row r="27" spans="1:6" x14ac:dyDescent="0.2">
      <c r="A27" s="1" t="s">
        <v>28</v>
      </c>
      <c r="B27">
        <v>1.7999999999999999E-2</v>
      </c>
      <c r="C27" t="s">
        <v>66</v>
      </c>
      <c r="D27" t="s">
        <v>67</v>
      </c>
      <c r="E27" s="3">
        <v>277.77777800000001</v>
      </c>
      <c r="F27">
        <f t="shared" si="0"/>
        <v>5.0000000039999994</v>
      </c>
    </row>
    <row r="28" spans="1:6" x14ac:dyDescent="0.2">
      <c r="A28" s="1" t="s">
        <v>29</v>
      </c>
      <c r="B28">
        <v>1.0999999999999999E-2</v>
      </c>
      <c r="C28" t="s">
        <v>66</v>
      </c>
      <c r="D28" t="s">
        <v>67</v>
      </c>
      <c r="E28" s="3">
        <v>277.77777800000001</v>
      </c>
      <c r="F28">
        <f t="shared" si="0"/>
        <v>3.055555558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South Africa</vt:lpstr>
      <vt:lpstr>Hungary</vt:lpstr>
      <vt:lpstr>Norway</vt:lpstr>
      <vt:lpstr>Saudi Arabia</vt:lpstr>
      <vt:lpstr>Greece</vt:lpstr>
      <vt:lpstr>Philippines</vt:lpstr>
      <vt:lpstr>Indonesia</vt:lpstr>
      <vt:lpstr>China</vt:lpstr>
      <vt:lpstr>Australia</vt:lpstr>
      <vt:lpstr>Thailand</vt:lpstr>
      <vt:lpstr>Rest of World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Danika Eamer</dc:creator>
  <cp:lastModifiedBy>Danika Eamer</cp:lastModifiedBy>
  <dcterms:created xsi:type="dcterms:W3CDTF">2025-06-17T17:59:53Z</dcterms:created>
  <dcterms:modified xsi:type="dcterms:W3CDTF">2025-06-17T21:33:06Z</dcterms:modified>
</cp:coreProperties>
</file>