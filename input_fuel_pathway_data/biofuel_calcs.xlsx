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kamacdonell/Git/MIT_NavigaTE_inputs/input_fuel_pathway_data/"/>
    </mc:Choice>
  </mc:AlternateContent>
  <xr:revisionPtr revIDLastSave="0" documentId="13_ncr:1_{E69FFC5A-7373-4047-9718-75EB939E4E58}" xr6:coauthVersionLast="47" xr6:coauthVersionMax="47" xr10:uidLastSave="{00000000-0000-0000-0000-000000000000}"/>
  <bookViews>
    <workbookView xWindow="0" yWindow="500" windowWidth="28800" windowHeight="16080" xr2:uid="{F023E870-C9D1-7146-B9CD-99FBBE2FA547}"/>
  </bookViews>
  <sheets>
    <sheet name="Sheet1" sheetId="1" r:id="rId1"/>
  </sheets>
  <calcPr calcId="18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D12" i="1"/>
  <c r="D11" i="1"/>
  <c r="D10" i="1"/>
  <c r="E12" i="1"/>
  <c r="F10" i="1" l="1"/>
  <c r="G10" i="1"/>
  <c r="H10" i="1"/>
  <c r="F12" i="1"/>
  <c r="H12" i="1"/>
  <c r="G12" i="1"/>
  <c r="F11" i="1"/>
  <c r="E21" i="1" s="1"/>
  <c r="F21" i="1" s="1"/>
  <c r="G11" i="1"/>
  <c r="H11" i="1"/>
  <c r="L21" i="1" l="1"/>
  <c r="J21" i="1"/>
  <c r="C21" i="1"/>
  <c r="H21" i="1" s="1"/>
  <c r="L20" i="1"/>
  <c r="E20" i="1"/>
  <c r="F20" i="1" s="1"/>
  <c r="J20" i="1"/>
  <c r="C20" i="1"/>
  <c r="H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tc={DD20F030-205E-0449-9809-4FBE0ED0905A}</author>
    <author>tc={998228A0-E9FA-D74C-B3F0-5C5488D12BD0}</author>
    <author>tc={385C4CBE-7D8C-6E43-9828-C1C6D78691E8}</author>
    <author>tc={4B21E709-C5A6-734E-B3AD-6A02F8D34A65}</author>
    <author>tc={762621B9-E6C3-834A-9481-550DE6C8912C}</author>
    <author>tc={8448FAB2-498A-E145-B4C0-F86B2DB1A79D}</author>
    <author>tc={06413141-FD0C-3A4D-AF97-0A52D60F43FE}</author>
  </authors>
  <commentList>
    <comment ref="R4" authorId="0" shapeId="0" xr:uid="{DD20F030-205E-0449-9809-4FBE0ED0905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 obtained from https://www.unitrove.com/engineering/tools/gas/natural-gas-density</t>
      </text>
    </comment>
    <comment ref="S4" authorId="1" shapeId="0" xr:uid="{998228A0-E9FA-D74C-B3F0-5C5488D12BD0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Table S6 in Li et al, 2022: https://pubs.acs.org/doi/suppl/10.1021/acs.est.2c03960/suppl_file/es2c03960_si_001.pdf</t>
      </text>
    </comment>
    <comment ref="B10" authorId="2" shapeId="0" xr:uid="{385C4CBE-7D8C-6E43-9828-C1C6D78691E8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Table S11 in SI to Li et al, 2022: https://pubs.acs.org/doi/suppl/10.1021/acs.est.2c03960/suppl_file/es2c03960_si_001.pdf</t>
      </text>
    </comment>
    <comment ref="B11" authorId="3" shapeId="0" xr:uid="{4B21E709-C5A6-734E-B3AD-6A02F8D34A65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Table S11 in SI to Li eta al, 2022: 
https://pubs.acs.org/doi/suppl/10.1021/acs.est.2c03960/suppl_file/es2c03960_si_001.pdf</t>
      </text>
    </comment>
    <comment ref="B12" authorId="4" shapeId="0" xr:uid="{762621B9-E6C3-834A-9481-550DE6C8912C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GREET 2024 (Fuel_Specs tab, Table 1, Bunker fuel for ocean tanker)</t>
      </text>
    </comment>
    <comment ref="K21" authorId="5" shapeId="0" xr:uid="{8448FAB2-498A-E145-B4C0-F86B2DB1A79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operating cost of NG consumption in Table S9</t>
      </text>
    </comment>
    <comment ref="L21" authorId="6" shapeId="0" xr:uid="{06413141-FD0C-3A4D-AF97-0A52D60F43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Reverse-engineering the NG demand per kg of fuel from the operating cost assigned to NG and the assumed cost of $3.61/1000 scf</t>
      </text>
    </comment>
  </commentList>
</comments>
</file>

<file path=xl/sharedStrings.xml><?xml version="1.0" encoding="utf-8"?>
<sst xmlns="http://schemas.openxmlformats.org/spreadsheetml/2006/main" count="38" uniqueCount="35">
  <si>
    <t>Fuel</t>
  </si>
  <si>
    <t>CFP</t>
  </si>
  <si>
    <t>Fuel Properties</t>
  </si>
  <si>
    <t>LHV (Btu/gal)</t>
  </si>
  <si>
    <t>LEO</t>
  </si>
  <si>
    <t>LHV (MJ/kg)</t>
  </si>
  <si>
    <t>density (g/ml)</t>
  </si>
  <si>
    <t>density (kg/gal)</t>
  </si>
  <si>
    <t>Constant conversion factors</t>
  </si>
  <si>
    <t>Btu/MJ</t>
  </si>
  <si>
    <t>ml/gal</t>
  </si>
  <si>
    <t>g/kg</t>
  </si>
  <si>
    <t>HFO</t>
  </si>
  <si>
    <t>fuel GE / HFOGE</t>
  </si>
  <si>
    <t>kg fuel / HFOGE</t>
  </si>
  <si>
    <t>Fuel Production</t>
  </si>
  <si>
    <t>Annual production (HFOGE/year)</t>
  </si>
  <si>
    <t>Annual production (kg/year)</t>
  </si>
  <si>
    <t>Fuel yield (HFOGE/dry tonne LCB)</t>
  </si>
  <si>
    <t>Fuel yield (kg fuel / kg LCB)</t>
  </si>
  <si>
    <t>kg/tonne</t>
  </si>
  <si>
    <t>LCB demand (kg LCB / kg fuel)</t>
  </si>
  <si>
    <t>TPC (2016 USD)</t>
  </si>
  <si>
    <t>TPC (2016 USD / (kg fuel / year))</t>
  </si>
  <si>
    <t>ml/L</t>
  </si>
  <si>
    <t>density (kg/L)</t>
  </si>
  <si>
    <t>Other OpEx ($/(HFOGE/year))</t>
  </si>
  <si>
    <t>Other OpEx ($/(kg fuel/year))</t>
  </si>
  <si>
    <t>MJ/GJ</t>
  </si>
  <si>
    <t>L/ft^3</t>
  </si>
  <si>
    <t>NG LHV (MJ/kg)</t>
  </si>
  <si>
    <t>NG density at 15.6C and 1 atm (kg/L)</t>
  </si>
  <si>
    <t>NG OpEx ($/HFOGE)</t>
  </si>
  <si>
    <t>NG demand (GJ/kg fuel)</t>
  </si>
  <si>
    <t>NG Cost (2016 USD / 1000 scf)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</si>
</sst>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0.00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name val="Aptos"/>
    </font>
    <font>
      <sz val="11"/>
      <color rgb="FF000000"/>
      <name val="Menlo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1" applyNumberFormat="1" applyFont="1" applyFill="1" applyBorder="1" applyAlignment="1"/>
    <xf numFmtId="0" fontId="5" fillId="0" borderId="0" xfId="0" applyFont="1"/>
    <xf numFmtId="11" fontId="0" fillId="0" borderId="0" xfId="0" applyNumberFormat="1"/>
    <xf numFmtId="0" fontId="0" fillId="0" borderId="0" xfId="0" applyNumberFormat="1"/>
    <xf numFmtId="168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ka MacDonell" id="{6BF09F82-67F0-3740-B623-72E154708B88}" userId="8168665ffe0200b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4" dT="2025-08-19T00:20:11.93" personId="{6BF09F82-67F0-3740-B623-72E154708B88}" id="{DD20F030-205E-0449-9809-4FBE0ED0905A}">
    <text>Value obtained from https://www.unitrove.com/engineering/tools/gas/natural-gas-density</text>
    <extLst>
      <x:ext xmlns:xltc2="http://schemas.microsoft.com/office/spreadsheetml/2020/threadedcomments2" uri="{F7C98A9C-CBB3-438F-8F68-D28B6AF4A901}">
        <xltc2:checksum>1405989984</xltc2:checksum>
        <xltc2:hyperlink startIndex="20" length="66" url="https://www.unitrove.com/engineering/tools/gas/natural-gas-density"/>
      </x:ext>
    </extLst>
  </threadedComment>
  <threadedComment ref="S4" dT="2025-08-19T00:59:47.02" personId="{6BF09F82-67F0-3740-B623-72E154708B88}" id="{998228A0-E9FA-D74C-B3F0-5C5488D12BD0}">
    <text>From Table S6 in Li et al, 2022: https://pubs.acs.org/doi/suppl/10.1021/acs.est.2c03960/suppl_file/es2c03960_si_001.pdf</text>
    <extLst>
      <x:ext xmlns:xltc2="http://schemas.microsoft.com/office/spreadsheetml/2020/threadedcomments2" uri="{F7C98A9C-CBB3-438F-8F68-D28B6AF4A901}">
        <xltc2:checksum>1799742403</xltc2:checksum>
        <xltc2:hyperlink startIndex="33" length="86" url="https://pubs.acs.org/doi/suppl/10.1021/acs.est.2c03960/suppl_file/es2c03960_si_001.pdf"/>
      </x:ext>
    </extLst>
  </threadedComment>
  <threadedComment ref="B10" dT="2025-08-18T20:13:53.57" personId="{6BF09F82-67F0-3740-B623-72E154708B88}" id="{385C4CBE-7D8C-6E43-9828-C1C6D78691E8}">
    <text>From Table S11 in SI to Li et al, 2022: https://pubs.acs.org/doi/suppl/10.1021/acs.est.2c03960/suppl_file/es2c03960_si_001.pdf</text>
    <extLst>
      <x:ext xmlns:xltc2="http://schemas.microsoft.com/office/spreadsheetml/2020/threadedcomments2" uri="{F7C98A9C-CBB3-438F-8F68-D28B6AF4A901}">
        <xltc2:checksum>1892943044</xltc2:checksum>
        <xltc2:hyperlink startIndex="40" length="86" url="https://pubs.acs.org/doi/suppl/10.1021/acs.est.2c03960/suppl_file/es2c03960_si_001.pdf"/>
      </x:ext>
    </extLst>
  </threadedComment>
  <threadedComment ref="B11" dT="2025-08-18T20:14:27.90" personId="{6BF09F82-67F0-3740-B623-72E154708B88}" id="{4B21E709-C5A6-734E-B3AD-6A02F8D34A65}">
    <text>From Table S11 in SI to Li eta al, 2022: 
https://pubs.acs.org/doi/suppl/10.1021/acs.est.2c03960/suppl_file/es2c03960_si_001.pdf</text>
    <extLst>
      <x:ext xmlns:xltc2="http://schemas.microsoft.com/office/spreadsheetml/2020/threadedcomments2" uri="{F7C98A9C-CBB3-438F-8F68-D28B6AF4A901}">
        <xltc2:checksum>4214246193</xltc2:checksum>
        <xltc2:hyperlink startIndex="42" length="86" url="https://pubs.acs.org/doi/suppl/10.1021/acs.est.2c03960/suppl_file/es2c03960_si_001.pdf"/>
      </x:ext>
    </extLst>
  </threadedComment>
  <threadedComment ref="B12" dT="2025-08-18T20:15:27.39" personId="{6BF09F82-67F0-3740-B623-72E154708B88}" id="{762621B9-E6C3-834A-9481-550DE6C8912C}">
    <text>From GREET 2024 (Fuel_Specs tab, Table 1, Bunker fuel for ocean tanker)</text>
  </threadedComment>
  <threadedComment ref="K21" dT="2025-08-19T00:58:38.50" personId="{6BF09F82-67F0-3740-B623-72E154708B88}" id="{8448FAB2-498A-E145-B4C0-F86B2DB1A79D}">
    <text>reported operating cost of NG consumption in Table S9</text>
  </threadedComment>
  <threadedComment ref="L21" dT="2025-08-19T00:59:23.24" personId="{6BF09F82-67F0-3740-B623-72E154708B88}" id="{06413141-FD0C-3A4D-AF97-0A52D60F43FE}">
    <text>Reverse-engineering the NG demand per kg of fuel from the operating cost assigned to NG and the assumed cost of $3.61/1000 scf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0A23-5767-214D-B692-22667F633BEC}">
  <dimension ref="A1:S21"/>
  <sheetViews>
    <sheetView tabSelected="1" workbookViewId="0">
      <selection activeCell="N22" sqref="N22"/>
    </sheetView>
  </sheetViews>
  <sheetFormatPr baseColWidth="10" defaultRowHeight="16" x14ac:dyDescent="0.2"/>
  <cols>
    <col min="2" max="2" width="11.5" bestFit="1" customWidth="1"/>
  </cols>
  <sheetData>
    <row r="1" spans="1:19" ht="19" x14ac:dyDescent="0.25">
      <c r="A1" s="2"/>
      <c r="J1" s="2" t="s">
        <v>8</v>
      </c>
    </row>
    <row r="3" spans="1:19" x14ac:dyDescent="0.2">
      <c r="J3" t="s">
        <v>9</v>
      </c>
      <c r="K3" t="s">
        <v>10</v>
      </c>
      <c r="L3" t="s">
        <v>11</v>
      </c>
      <c r="M3" t="s">
        <v>20</v>
      </c>
      <c r="N3" t="s">
        <v>24</v>
      </c>
      <c r="O3" t="s">
        <v>28</v>
      </c>
      <c r="P3" t="s">
        <v>29</v>
      </c>
      <c r="Q3" t="s">
        <v>30</v>
      </c>
      <c r="R3" t="s">
        <v>31</v>
      </c>
      <c r="S3" t="s">
        <v>34</v>
      </c>
    </row>
    <row r="4" spans="1:19" x14ac:dyDescent="0.2">
      <c r="J4">
        <v>947.81700000000001</v>
      </c>
      <c r="K4">
        <v>3785.41</v>
      </c>
      <c r="L4">
        <v>1000</v>
      </c>
      <c r="M4">
        <v>1000</v>
      </c>
      <c r="N4">
        <v>1000</v>
      </c>
      <c r="O4">
        <v>1000</v>
      </c>
      <c r="P4">
        <v>28.316800000000001</v>
      </c>
      <c r="Q4">
        <v>48.6</v>
      </c>
      <c r="R4">
        <v>7.1100000000000004E-4</v>
      </c>
      <c r="S4">
        <v>3.51</v>
      </c>
    </row>
    <row r="6" spans="1:19" x14ac:dyDescent="0.2">
      <c r="B6" s="3"/>
    </row>
    <row r="7" spans="1:19" ht="19" x14ac:dyDescent="0.25">
      <c r="A7" s="2" t="s">
        <v>2</v>
      </c>
    </row>
    <row r="9" spans="1:19" x14ac:dyDescent="0.2">
      <c r="A9" s="1" t="s">
        <v>0</v>
      </c>
      <c r="B9" s="1" t="s">
        <v>3</v>
      </c>
      <c r="C9" s="1" t="s">
        <v>6</v>
      </c>
      <c r="D9" s="1" t="s">
        <v>7</v>
      </c>
      <c r="E9" s="1" t="s">
        <v>13</v>
      </c>
      <c r="F9" s="1" t="s">
        <v>14</v>
      </c>
      <c r="G9" s="1" t="s">
        <v>5</v>
      </c>
      <c r="H9" s="1" t="s">
        <v>25</v>
      </c>
    </row>
    <row r="10" spans="1:19" x14ac:dyDescent="0.2">
      <c r="A10" t="s">
        <v>1</v>
      </c>
      <c r="B10">
        <v>110454</v>
      </c>
      <c r="C10">
        <v>0.97</v>
      </c>
      <c r="D10">
        <f>C10*K4/L4</f>
        <v>3.6718476999999998</v>
      </c>
      <c r="E10">
        <f>B12/B10</f>
        <v>1.2706918717294078</v>
      </c>
      <c r="F10">
        <f>E10*D10</f>
        <v>4.6657870266183208</v>
      </c>
      <c r="G10">
        <f>B10/(J4*D10)</f>
        <v>31.737469377595296</v>
      </c>
      <c r="H10">
        <f>D10*N4/K4</f>
        <v>0.97</v>
      </c>
    </row>
    <row r="11" spans="1:19" x14ac:dyDescent="0.2">
      <c r="A11" t="s">
        <v>4</v>
      </c>
      <c r="B11">
        <v>96804</v>
      </c>
      <c r="C11">
        <v>1.25</v>
      </c>
      <c r="D11">
        <f>C11*K4/L4</f>
        <v>4.7317624999999994</v>
      </c>
      <c r="E11">
        <f>B12/B11</f>
        <v>1.4498677740589232</v>
      </c>
      <c r="F11">
        <f>D11*E11</f>
        <v>6.8604299632504846</v>
      </c>
      <c r="G11">
        <f>B11/(J4*D11)</f>
        <v>21.584692748545987</v>
      </c>
      <c r="H11">
        <f>D11*N4/K4</f>
        <v>1.25</v>
      </c>
    </row>
    <row r="12" spans="1:19" x14ac:dyDescent="0.2">
      <c r="A12" t="s">
        <v>12</v>
      </c>
      <c r="B12" s="3">
        <v>140353</v>
      </c>
      <c r="C12">
        <v>0.99099999999999999</v>
      </c>
      <c r="D12">
        <f>C12*K4/L4</f>
        <v>3.7513413099999999</v>
      </c>
      <c r="E12">
        <f>B12/B12</f>
        <v>1</v>
      </c>
      <c r="F12">
        <f>D12*E12</f>
        <v>3.7513413099999999</v>
      </c>
      <c r="G12">
        <f>B12/(J4*D12)</f>
        <v>39.473953618920476</v>
      </c>
      <c r="H12">
        <f>D12*N4/K4</f>
        <v>0.99099999999999999</v>
      </c>
    </row>
    <row r="17" spans="1:12" ht="19" x14ac:dyDescent="0.25">
      <c r="A17" s="2" t="s">
        <v>15</v>
      </c>
    </row>
    <row r="19" spans="1:12" x14ac:dyDescent="0.2">
      <c r="A19" s="1" t="s">
        <v>0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21</v>
      </c>
      <c r="G19" s="1" t="s">
        <v>22</v>
      </c>
      <c r="H19" s="1" t="s">
        <v>23</v>
      </c>
      <c r="I19" s="1" t="s">
        <v>26</v>
      </c>
      <c r="J19" s="1" t="s">
        <v>27</v>
      </c>
      <c r="K19" s="1" t="s">
        <v>32</v>
      </c>
      <c r="L19" s="1" t="s">
        <v>33</v>
      </c>
    </row>
    <row r="20" spans="1:12" x14ac:dyDescent="0.2">
      <c r="A20" t="s">
        <v>1</v>
      </c>
      <c r="B20" s="5">
        <v>31070000</v>
      </c>
      <c r="C20" s="5">
        <f>B20*F10</f>
        <v>144966002.91703123</v>
      </c>
      <c r="D20">
        <v>42.9</v>
      </c>
      <c r="E20">
        <f>D20*F10/M4</f>
        <v>0.20016226344192595</v>
      </c>
      <c r="F20">
        <f>1/E20</f>
        <v>4.9959467024618993</v>
      </c>
      <c r="G20" s="5">
        <v>404220000</v>
      </c>
      <c r="H20" s="7">
        <f>G20/C20</f>
        <v>2.7883779083799967</v>
      </c>
      <c r="I20">
        <v>-0.04</v>
      </c>
      <c r="J20">
        <f>I20/F10</f>
        <v>-8.5730445414246188E-3</v>
      </c>
      <c r="K20">
        <v>0</v>
      </c>
      <c r="L20">
        <f>K20*(1000/S4)*P4*R4*(1/F10)*Q4/O4</f>
        <v>0</v>
      </c>
    </row>
    <row r="21" spans="1:12" x14ac:dyDescent="0.2">
      <c r="A21" t="s">
        <v>4</v>
      </c>
      <c r="B21" s="5">
        <v>56380000</v>
      </c>
      <c r="C21" s="6">
        <f>B21*F11</f>
        <v>386791041.3280623</v>
      </c>
      <c r="D21">
        <v>77.86</v>
      </c>
      <c r="E21">
        <f>D21*F11/M4</f>
        <v>0.53415307693868275</v>
      </c>
      <c r="F21">
        <f>1/E21</f>
        <v>1.8721225116424696</v>
      </c>
      <c r="G21" s="5">
        <v>628750000</v>
      </c>
      <c r="H21" s="7">
        <f>G21/C21</f>
        <v>1.6255547125423642</v>
      </c>
      <c r="I21" s="4">
        <v>0.35</v>
      </c>
      <c r="J21">
        <f>I21/F11</f>
        <v>5.1017210564768933E-2</v>
      </c>
      <c r="K21">
        <v>0.57999999999999996</v>
      </c>
      <c r="L21">
        <f>K21*(1000/S4)*P4*R4*(1/F11)*Q4/O4</f>
        <v>2.3567829381174493E-2</v>
      </c>
    </row>
  </sheetData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Danika MacDonell</dc:creator>
  <cp:lastModifiedBy>Danika MacDonell</cp:lastModifiedBy>
  <dcterms:created xsi:type="dcterms:W3CDTF">2025-08-18T19:43:47Z</dcterms:created>
  <dcterms:modified xsi:type="dcterms:W3CDTF">2025-08-19T05:13:27Z</dcterms:modified>
</cp:coreProperties>
</file>