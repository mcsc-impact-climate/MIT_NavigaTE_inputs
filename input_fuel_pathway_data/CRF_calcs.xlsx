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kamacdonell/Git/MIT_NavigaTE_inputs/input_fuel_pathway_data/"/>
    </mc:Choice>
  </mc:AlternateContent>
  <xr:revisionPtr revIDLastSave="0" documentId="8_{85D2D4B9-EA1B-9648-B2F9-89339D789AC9}" xr6:coauthVersionLast="47" xr6:coauthVersionMax="47" xr10:uidLastSave="{00000000-0000-0000-0000-000000000000}"/>
  <bookViews>
    <workbookView xWindow="780" yWindow="1000" windowWidth="27640" windowHeight="15780" xr2:uid="{84662608-0ADE-2D4E-859D-A4755BFAA688}"/>
  </bookViews>
  <sheets>
    <sheet name="Sheet1" sheetId="1" r:id="rId1"/>
  </sheets>
  <calcPr calcId="181029" iterate="1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D6" i="1"/>
  <c r="D5" i="1"/>
  <c r="F5" i="1" s="1"/>
  <c r="D4" i="1"/>
  <c r="F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tc={22802913-BB14-3B4F-9C0F-984A1CC0F922}</author>
    <author>tc={D252ACC2-1F6A-F44B-A5CC-F7CC1ABDE63A}</author>
    <author>tc={0869BFCE-344E-5B43-A202-E221F7463EA1}</author>
  </authors>
  <commentList>
    <comment ref="D3" authorId="0" shapeId="0" xr:uid="{22802913-BB14-3B4F-9C0F-984A1CC0F9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using Fisher equation: https://corporatefinanceinstitute.com/resources/economics/fisher-equation/</t>
      </text>
    </comment>
    <comment ref="K3" authorId="1" shapeId="0" xr:uid="{D252ACC2-1F6A-F44B-A5CC-F7CC1ABDE63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using Fisher equation: https://corporatefinanceinstitute.com/resources/economics/fisher-equation/</t>
      </text>
    </comment>
    <comment ref="A4" authorId="2" shapeId="0" xr:uid="{0869BFCE-344E-5B43-A202-E221F7463EA1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obtained from Table 5 in Zang et al (https://www.sciencedirect.com/science/article/abs/pii/S0360319923048760)</t>
      </text>
    </comment>
  </commentList>
</comments>
</file>

<file path=xl/sharedStrings.xml><?xml version="1.0" encoding="utf-8"?>
<sst xmlns="http://schemas.openxmlformats.org/spreadsheetml/2006/main" count="9" uniqueCount="9">
  <si>
    <t>H2_ATRCCS</t>
  </si>
  <si>
    <t xml:space="preserve">After-tax Real IRR (%) </t>
  </si>
  <si>
    <t xml:space="preserve">Inflation rate (%) </t>
  </si>
  <si>
    <t>nominal discount rate</t>
  </si>
  <si>
    <t>Plant life (years)</t>
  </si>
  <si>
    <t>CRF</t>
  </si>
  <si>
    <t>SNG</t>
  </si>
  <si>
    <t>Pathway</t>
  </si>
  <si>
    <t>Bio-CFP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</si>
</sst>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sz val="12"/>
      <color theme="1"/>
      <name val="Aptos Narrow"/>
      <scheme val="minor"/>
    </font>
    <font>
      <sz val="12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ka MacDonell" id="{04B2AFC0-242F-F043-8052-59A4060FF714}" userId="8168665ffe0200b4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5-08-17T05:20:10.17" personId="{04B2AFC0-242F-F043-8052-59A4060FF714}" id="{22802913-BB14-3B4F-9C0F-984A1CC0F922}">
    <text>Calculated using Fisher equation: https://corporatefinanceinstitute.com/resources/economics/fisher-equation/</text>
    <extLst>
      <x:ext xmlns:xltc2="http://schemas.microsoft.com/office/spreadsheetml/2020/threadedcomments2" uri="{F7C98A9C-CBB3-438F-8F68-D28B6AF4A901}">
        <xltc2:checksum>992724882</xltc2:checksum>
        <xltc2:hyperlink startIndex="34" length="74" url="https://corporatefinanceinstitute.com/resources/economics/fisher-equation/"/>
      </x:ext>
    </extLst>
  </threadedComment>
  <threadedComment ref="K3" dT="2025-08-17T05:20:10.17" personId="{04B2AFC0-242F-F043-8052-59A4060FF714}" id="{D252ACC2-1F6A-F44B-A5CC-F7CC1ABDE63A}">
    <text>Calculated using Fisher equation: https://corporatefinanceinstitute.com/resources/economics/fisher-equation/</text>
    <extLst>
      <x:ext xmlns:xltc2="http://schemas.microsoft.com/office/spreadsheetml/2020/threadedcomments2" uri="{F7C98A9C-CBB3-438F-8F68-D28B6AF4A901}">
        <xltc2:checksum>992724882</xltc2:checksum>
        <xltc2:hyperlink startIndex="34" length="74" url="https://corporatefinanceinstitute.com/resources/economics/fisher-equation/"/>
      </x:ext>
    </extLst>
  </threadedComment>
  <threadedComment ref="A4" dT="2025-08-17T05:22:23.60" personId="{04B2AFC0-242F-F043-8052-59A4060FF714}" id="{0869BFCE-344E-5B43-A202-E221F7463EA1}">
    <text>Data obtained from Table 5 in Zang et al (https://www.sciencedirect.com/science/article/abs/pii/S0360319923048760)</text>
    <extLst>
      <x:ext xmlns:xltc2="http://schemas.microsoft.com/office/spreadsheetml/2020/threadedcomments2" uri="{F7C98A9C-CBB3-438F-8F68-D28B6AF4A901}">
        <xltc2:checksum>2923129750</xltc2:checksum>
        <xltc2:hyperlink startIndex="42" length="71" url="https://www.sciencedirect.com/science/article/abs/pii/S0360319923048760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614A-2C83-E448-83DC-69AAC29D7EC4}">
  <dimension ref="A1:M6"/>
  <sheetViews>
    <sheetView tabSelected="1" workbookViewId="0">
      <selection activeCell="G10" sqref="G10"/>
    </sheetView>
  </sheetViews>
  <sheetFormatPr baseColWidth="10" defaultRowHeight="16"/>
  <sheetData>
    <row r="1" spans="1:13">
      <c r="B1" s="1"/>
    </row>
    <row r="3" spans="1:13">
      <c r="A3" s="1" t="s">
        <v>7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I3" s="2"/>
      <c r="J3" s="2"/>
      <c r="K3" s="2"/>
      <c r="L3" s="2"/>
      <c r="M3" s="2"/>
    </row>
    <row r="4" spans="1:13">
      <c r="A4" s="1" t="s">
        <v>0</v>
      </c>
      <c r="B4" s="2">
        <v>8</v>
      </c>
      <c r="C4" s="2">
        <v>2</v>
      </c>
      <c r="D4" s="3">
        <f>(1+B4/100)*(1+C4/100)-1</f>
        <v>0.10160000000000013</v>
      </c>
      <c r="E4" s="2">
        <v>40</v>
      </c>
      <c r="F4" s="2">
        <f>D4*(1+D4)^E4/((1+D4)^E4-1)</f>
        <v>0.10376314705751892</v>
      </c>
    </row>
    <row r="5" spans="1:13">
      <c r="A5" s="1" t="s">
        <v>6</v>
      </c>
      <c r="B5">
        <v>8</v>
      </c>
      <c r="C5">
        <v>1.9</v>
      </c>
      <c r="D5" s="3">
        <f>(1+B5/100)*(1+C5/100)-1</f>
        <v>0.10051999999999994</v>
      </c>
      <c r="E5">
        <v>40</v>
      </c>
      <c r="F5" s="2">
        <f>D5*(1+D5)^E5/((1+D5)^E5-1)</f>
        <v>0.10274768859314053</v>
      </c>
    </row>
    <row r="6" spans="1:13">
      <c r="A6" s="1" t="s">
        <v>8</v>
      </c>
      <c r="B6">
        <v>10</v>
      </c>
      <c r="C6">
        <v>2</v>
      </c>
      <c r="D6" s="3">
        <f>(1+B6/100)*(1+C6/100)-1</f>
        <v>0.12200000000000011</v>
      </c>
      <c r="E6">
        <v>30</v>
      </c>
      <c r="F6" s="2">
        <f>D6*(1+D6)^E6/((1+D6)^E6-1)</f>
        <v>0.12598599322823506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Danika MacDonell</dc:creator>
  <cp:lastModifiedBy>Danika MacDonell</cp:lastModifiedBy>
  <dcterms:created xsi:type="dcterms:W3CDTF">2025-08-17T05:16:27Z</dcterms:created>
  <dcterms:modified xsi:type="dcterms:W3CDTF">2025-08-17T19:26:18Z</dcterms:modified>
</cp:coreProperties>
</file>