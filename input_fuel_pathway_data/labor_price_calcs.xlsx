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kamacdonell/Git/MIT_NavigaTE_inputs/input_fuel_pathway_data/"/>
    </mc:Choice>
  </mc:AlternateContent>
  <xr:revisionPtr revIDLastSave="0" documentId="13_ncr:1_{ACD81CBB-7A50-8342-899C-2DC19B992BA8}" xr6:coauthVersionLast="47" xr6:coauthVersionMax="47" xr10:uidLastSave="{00000000-0000-0000-0000-000000000000}"/>
  <bookViews>
    <workbookView xWindow="780" yWindow="1000" windowWidth="27640" windowHeight="15560" xr2:uid="{E23F0E55-3D1B-6848-8B97-956A5AEF3955}"/>
  </bookViews>
  <sheets>
    <sheet name="South Africa" sheetId="1" r:id="rId1"/>
    <sheet name="China" sheetId="2" r:id="rId2"/>
    <sheet name="India" sheetId="3" r:id="rId3"/>
    <sheet name="UAE" sheetId="4" r:id="rId4"/>
    <sheet name="Indonesia" sheetId="5" r:id="rId5"/>
    <sheet name="Thailand" sheetId="6" r:id="rId6"/>
    <sheet name="Malaysia" sheetId="7" r:id="rId7"/>
    <sheet name="Russia" sheetId="8" r:id="rId8"/>
    <sheet name="Saudi Arabia" sheetId="9" r:id="rId9"/>
    <sheet name="Res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2" i="4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2" i="10"/>
  <c r="G13" i="8"/>
  <c r="G12" i="8"/>
  <c r="G11" i="8"/>
  <c r="G10" i="8"/>
  <c r="G9" i="8"/>
  <c r="G8" i="8"/>
  <c r="G7" i="8"/>
  <c r="G6" i="8"/>
  <c r="G5" i="8"/>
  <c r="G4" i="8"/>
  <c r="G3" i="8"/>
  <c r="G2" i="8"/>
  <c r="G14" i="7"/>
  <c r="G13" i="7"/>
  <c r="G11" i="7"/>
  <c r="G10" i="7"/>
  <c r="G12" i="7"/>
  <c r="G9" i="7"/>
  <c r="G8" i="7"/>
  <c r="G7" i="7"/>
  <c r="G6" i="7"/>
  <c r="G5" i="7"/>
  <c r="G4" i="7"/>
  <c r="G3" i="7"/>
  <c r="G2" i="7"/>
  <c r="G4" i="6"/>
  <c r="G3" i="6"/>
  <c r="G5" i="6" s="1"/>
  <c r="G2" i="6"/>
  <c r="G3" i="5"/>
  <c r="G2" i="5"/>
  <c r="G4" i="5" s="1"/>
  <c r="E2" i="3"/>
  <c r="E2" i="2"/>
  <c r="G5" i="1"/>
  <c r="G4" i="1"/>
  <c r="G3" i="1"/>
  <c r="G2" i="1"/>
  <c r="G14" i="8" l="1"/>
  <c r="G6" i="1"/>
</calcChain>
</file>

<file path=xl/sharedStrings.xml><?xml version="1.0" encoding="utf-8"?>
<sst xmlns="http://schemas.openxmlformats.org/spreadsheetml/2006/main" count="278" uniqueCount="117">
  <si>
    <t>Units</t>
  </si>
  <si>
    <t>Source</t>
  </si>
  <si>
    <t>Period</t>
  </si>
  <si>
    <t>Average monthly wage in manufacturing</t>
  </si>
  <si>
    <t>Q1 2024</t>
  </si>
  <si>
    <t>Q2 2024</t>
  </si>
  <si>
    <t>Q3 2024</t>
  </si>
  <si>
    <t>Q4 2024</t>
  </si>
  <si>
    <t>ZAR/mo</t>
  </si>
  <si>
    <t>https://tradingeconomics.com/south-africa/wages-in-manufacturing</t>
  </si>
  <si>
    <t>ZAR to USD</t>
  </si>
  <si>
    <t>Average hourly wage in manufacturing (USD/hour)</t>
  </si>
  <si>
    <t>2024 average</t>
  </si>
  <si>
    <t>2013 USD/hr</t>
  </si>
  <si>
    <t>2013 to 2024 USD</t>
  </si>
  <si>
    <t>https://www.conference-board.org/ilcprogram/index.cfm</t>
  </si>
  <si>
    <t>https://data.bls.gov/cgi-bin/cpicalc.pl?cost1=100.00&amp;year1=201301&amp;year2=202401</t>
  </si>
  <si>
    <t>2024 USD/hr</t>
  </si>
  <si>
    <t>2014 USD/hr</t>
  </si>
  <si>
    <t>2014 to 2024 USD</t>
  </si>
  <si>
    <t>2016 to 2024 USD</t>
  </si>
  <si>
    <t>USD per AED in 2025</t>
  </si>
  <si>
    <t>https://www.exchange-rates.org/exchange-rate-history/aed-usd-2025</t>
  </si>
  <si>
    <t>2024 to 2025 USD</t>
  </si>
  <si>
    <t>Average hourly wage (2024 USD/hour)</t>
  </si>
  <si>
    <t>IDR/mo</t>
  </si>
  <si>
    <t>https://tradingeconomics.com/indonesia/wages-in-manufacturing</t>
  </si>
  <si>
    <t>IDR to USD</t>
  </si>
  <si>
    <t>https://www.exchange-rates.org/exchange-rate-history/idr-usd-2024</t>
  </si>
  <si>
    <t>Average annual factory worker salary</t>
  </si>
  <si>
    <t>https://www.erieri.com/salary/job/factory-worker/united-arab-emirates</t>
  </si>
  <si>
    <t>Work hours per month</t>
  </si>
  <si>
    <t>Work hours per year</t>
  </si>
  <si>
    <t>2025 UAD/yr</t>
  </si>
  <si>
    <t>https://www.exchange-rates.org/exchange-rate-history/myr-usd-2025</t>
  </si>
  <si>
    <t>THB/mo</t>
  </si>
  <si>
    <t>https://tradingeconomics.com/thailand/wages-in-manufacturing</t>
  </si>
  <si>
    <t>THB to USD</t>
  </si>
  <si>
    <t>MYR/mo</t>
  </si>
  <si>
    <t>https://tradingeconomics.com/malaysia/wages-in-manufacturing</t>
  </si>
  <si>
    <t>MYR to USD</t>
  </si>
  <si>
    <t>https://www.exchange-rates.org/exchange-rate-history/myr-usd-2024</t>
  </si>
  <si>
    <t>https://www.exchange-rates.org/exchange-rate-history/zar-usd-2024</t>
  </si>
  <si>
    <t>https://www.exchange-rates.org/exchange-rate-history/thb-usd-2024</t>
  </si>
  <si>
    <t>https://www.exchange-rates.org/exchange-rate-history/myr-usd-2026</t>
  </si>
  <si>
    <t>https://www.exchange-rates.org/exchange-rate-history/myr-usd-2027</t>
  </si>
  <si>
    <t>https://www.exchange-rates.org/exchange-rate-history/myr-usd-2028</t>
  </si>
  <si>
    <t>https://www.exchange-rates.org/exchange-rate-history/myr-usd-2029</t>
  </si>
  <si>
    <t>https://www.exchange-rates.org/exchange-rate-history/myr-usd-2030</t>
  </si>
  <si>
    <t>https://www.exchange-rates.org/exchange-rate-history/myr-usd-2031</t>
  </si>
  <si>
    <t>https://www.exchange-rates.org/exchange-rate-history/myr-usd-2032</t>
  </si>
  <si>
    <t>Average</t>
  </si>
  <si>
    <t>RUB/mo</t>
  </si>
  <si>
    <t>https://tradingeconomics.com/russia/wages-in-manufacturing</t>
  </si>
  <si>
    <t>RUB to USD</t>
  </si>
  <si>
    <t>2025 SAR/yr</t>
  </si>
  <si>
    <t>https://www.erieri.com/salary/job/factory-worker/saudi-arabia</t>
  </si>
  <si>
    <t>USD per SAR in 2025</t>
  </si>
  <si>
    <t>https://www.exchange-rates.org/exchange-rate-history/sar-usd-2025</t>
  </si>
  <si>
    <t>Country</t>
  </si>
  <si>
    <t>Labor Price (2016 USD/hr)</t>
  </si>
  <si>
    <t>https://data.bls.gov/cgi-bin/cpicalc.pl?cost1=100.00&amp;year1=201601&amp;year2=202401</t>
  </si>
  <si>
    <t>United States</t>
  </si>
  <si>
    <t>https://data.bls.gov/cgi-bin/cpicalc.pl?cost1=100.00&amp;year1=201601&amp;year2=202402</t>
  </si>
  <si>
    <t>https://data.bls.gov/cgi-bin/cpicalc.pl?cost1=100.00&amp;year1=201601&amp;year2=202403</t>
  </si>
  <si>
    <t>https://data.bls.gov/cgi-bin/cpicalc.pl?cost1=100.00&amp;year1=201601&amp;year2=202404</t>
  </si>
  <si>
    <t>https://data.bls.gov/cgi-bin/cpicalc.pl?cost1=100.00&amp;year1=201601&amp;year2=202405</t>
  </si>
  <si>
    <t>https://data.bls.gov/cgi-bin/cpicalc.pl?cost1=100.00&amp;year1=201601&amp;year2=202406</t>
  </si>
  <si>
    <t>https://data.bls.gov/cgi-bin/cpicalc.pl?cost1=100.00&amp;year1=201601&amp;year2=202407</t>
  </si>
  <si>
    <t>https://data.bls.gov/cgi-bin/cpicalc.pl?cost1=100.00&amp;year1=201601&amp;year2=202408</t>
  </si>
  <si>
    <t>https://data.bls.gov/cgi-bin/cpicalc.pl?cost1=100.00&amp;year1=201601&amp;year2=202409</t>
  </si>
  <si>
    <t>https://data.bls.gov/cgi-bin/cpicalc.pl?cost1=100.00&amp;year1=201601&amp;year2=202410</t>
  </si>
  <si>
    <t>https://data.bls.gov/cgi-bin/cpicalc.pl?cost1=100.00&amp;year1=201601&amp;year2=202411</t>
  </si>
  <si>
    <t>https://data.bls.gov/cgi-bin/cpicalc.pl?cost1=100.00&amp;year1=201601&amp;year2=202412</t>
  </si>
  <si>
    <t>https://data.bls.gov/cgi-bin/cpicalc.pl?cost1=100.00&amp;year1=201601&amp;year2=202413</t>
  </si>
  <si>
    <t>https://data.bls.gov/cgi-bin/cpicalc.pl?cost1=100.00&amp;year1=201601&amp;year2=202414</t>
  </si>
  <si>
    <t>https://data.bls.gov/cgi-bin/cpicalc.pl?cost1=100.00&amp;year1=201601&amp;year2=202415</t>
  </si>
  <si>
    <t>https://data.bls.gov/cgi-bin/cpicalc.pl?cost1=100.00&amp;year1=201601&amp;year2=202416</t>
  </si>
  <si>
    <t>https://data.bls.gov/cgi-bin/cpicalc.pl?cost1=100.00&amp;year1=201601&amp;year2=202417</t>
  </si>
  <si>
    <t>https://data.bls.gov/cgi-bin/cpicalc.pl?cost1=100.00&amp;year1=201601&amp;year2=202418</t>
  </si>
  <si>
    <t>https://data.bls.gov/cgi-bin/cpicalc.pl?cost1=100.00&amp;year1=201601&amp;year2=202419</t>
  </si>
  <si>
    <t>https://data.bls.gov/cgi-bin/cpicalc.pl?cost1=100.00&amp;year1=201601&amp;year2=202420</t>
  </si>
  <si>
    <t>https://data.bls.gov/cgi-bin/cpicalc.pl?cost1=100.00&amp;year1=201601&amp;year2=202421</t>
  </si>
  <si>
    <t>https://data.bls.gov/cgi-bin/cpicalc.pl?cost1=100.00&amp;year1=201601&amp;year2=202422</t>
  </si>
  <si>
    <t>https://data.bls.gov/cgi-bin/cpicalc.pl?cost1=100.00&amp;year1=201601&amp;year2=202423</t>
  </si>
  <si>
    <t>https://data.bls.gov/cgi-bin/cpicalc.pl?cost1=100.00&amp;year1=201601&amp;year2=202424</t>
  </si>
  <si>
    <t>https://data.bls.gov/cgi-bin/cpicalc.pl?cost1=100.00&amp;year1=201601&amp;year2=202425</t>
  </si>
  <si>
    <t>https://data.bls.gov/cgi-bin/cpicalc.pl?cost1=100.00&amp;year1=201601&amp;year2=202426</t>
  </si>
  <si>
    <t>https://data.bls.gov/cgi-bin/cpicalc.pl?cost1=100.00&amp;year1=201601&amp;year2=202427</t>
  </si>
  <si>
    <t>https://data.bls.gov/cgi-bin/cpicalc.pl?cost1=100.00&amp;year1=201601&amp;year2=202428</t>
  </si>
  <si>
    <t>Turkey</t>
  </si>
  <si>
    <t>Australia</t>
  </si>
  <si>
    <t>Canada</t>
  </si>
  <si>
    <t>Mexico</t>
  </si>
  <si>
    <t>South Korea</t>
  </si>
  <si>
    <t>Italy</t>
  </si>
  <si>
    <t>Austria</t>
  </si>
  <si>
    <t>Finland</t>
  </si>
  <si>
    <t>Portugal</t>
  </si>
  <si>
    <t>Germany</t>
  </si>
  <si>
    <t>Greece</t>
  </si>
  <si>
    <t>France</t>
  </si>
  <si>
    <t>Brazil</t>
  </si>
  <si>
    <t>United Kingdom</t>
  </si>
  <si>
    <t>Spain</t>
  </si>
  <si>
    <t>Sweden</t>
  </si>
  <si>
    <t>Czech Republic</t>
  </si>
  <si>
    <t>Japan</t>
  </si>
  <si>
    <t>Belgium</t>
  </si>
  <si>
    <t>Poland</t>
  </si>
  <si>
    <t>Taiwan</t>
  </si>
  <si>
    <t>Switzerland</t>
  </si>
  <si>
    <t>Singapore</t>
  </si>
  <si>
    <t>Hungary</t>
  </si>
  <si>
    <t>Philippines</t>
  </si>
  <si>
    <t>Netherlands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</si>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</sst>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Menlo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rgb="FF00206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1"/>
    <xf numFmtId="11" fontId="0" fillId="0" borderId="0" xfId="0" applyNumberFormat="1"/>
    <xf numFmtId="17" fontId="0" fillId="0" borderId="0" xfId="0" applyNumberFormat="1"/>
    <xf numFmtId="4" fontId="3" fillId="0" borderId="0" xfId="0" applyNumberFormat="1" applyFont="1"/>
    <xf numFmtId="3" fontId="3" fillId="0" borderId="0" xfId="0" applyNumberFormat="1" applyFont="1"/>
    <xf numFmtId="0" fontId="5" fillId="0" borderId="0" xfId="0" applyFont="1"/>
    <xf numFmtId="2" fontId="0" fillId="0" borderId="2" xfId="0" applyNumberFormat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change-rates.org/exchange-rate-history/zar-usd-2024" TargetMode="External"/><Relationship Id="rId2" Type="http://schemas.openxmlformats.org/officeDocument/2006/relationships/hyperlink" Target="https://www.exchange-rates.org/exchange-rate-history/zar-usd-2024" TargetMode="External"/><Relationship Id="rId1" Type="http://schemas.openxmlformats.org/officeDocument/2006/relationships/hyperlink" Target="https://www.exchange-rates.org/exchange-rate-history/zar-usd-2024" TargetMode="External"/><Relationship Id="rId4" Type="http://schemas.openxmlformats.org/officeDocument/2006/relationships/hyperlink" Target="https://www.exchange-rates.org/exchange-rate-history/zar-usd-202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change-rates.org/exchange-rate-history/aed-usd-202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change-rates.org/exchange-rate-history/idr-usd-2024" TargetMode="External"/><Relationship Id="rId1" Type="http://schemas.openxmlformats.org/officeDocument/2006/relationships/hyperlink" Target="https://www.exchange-rates.org/exchange-rate-history/idr-usd-202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change-rates.org/exchange-rate-history/thb-usd-2024" TargetMode="External"/><Relationship Id="rId2" Type="http://schemas.openxmlformats.org/officeDocument/2006/relationships/hyperlink" Target="https://tradingeconomics.com/thailand/wages-in-manufacturing" TargetMode="External"/><Relationship Id="rId1" Type="http://schemas.openxmlformats.org/officeDocument/2006/relationships/hyperlink" Target="https://tradingeconomics.com/thailand/wages-in-manufacturing" TargetMode="External"/><Relationship Id="rId5" Type="http://schemas.openxmlformats.org/officeDocument/2006/relationships/hyperlink" Target="https://www.exchange-rates.org/exchange-rate-history/thb-usd-2024" TargetMode="External"/><Relationship Id="rId4" Type="http://schemas.openxmlformats.org/officeDocument/2006/relationships/hyperlink" Target="https://www.exchange-rates.org/exchange-rate-history/thb-usd-202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tradingeconomics.com/russia/wages-in-manufacturing" TargetMode="External"/><Relationship Id="rId1" Type="http://schemas.openxmlformats.org/officeDocument/2006/relationships/hyperlink" Target="https://tradingeconomics.com/russia/wages-in-manufactu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rieri.com/salary/job/factory-worker/saudi-arabi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bls.gov/cgi-bin/cpicalc.pl?cost1=100.00&amp;year1=201601&amp;year2=202401" TargetMode="External"/><Relationship Id="rId1" Type="http://schemas.openxmlformats.org/officeDocument/2006/relationships/hyperlink" Target="https://data.bls.gov/cgi-bin/cpicalc.pl?cost1=100.00&amp;year1=201601&amp;year2=202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E802-EAE3-D348-9918-4E057FCB8B3A}">
  <dimension ref="A1:L6"/>
  <sheetViews>
    <sheetView tabSelected="1" workbookViewId="0">
      <selection activeCell="F2" sqref="F2"/>
    </sheetView>
  </sheetViews>
  <sheetFormatPr baseColWidth="10" defaultRowHeight="16" x14ac:dyDescent="0.2"/>
  <cols>
    <col min="2" max="2" width="33" customWidth="1"/>
  </cols>
  <sheetData>
    <row r="1" spans="1:12" x14ac:dyDescent="0.2">
      <c r="A1" t="s">
        <v>2</v>
      </c>
      <c r="B1" t="s">
        <v>3</v>
      </c>
      <c r="C1" t="s">
        <v>0</v>
      </c>
      <c r="D1" t="s">
        <v>1</v>
      </c>
      <c r="E1" t="s">
        <v>10</v>
      </c>
      <c r="F1" t="s">
        <v>1</v>
      </c>
      <c r="G1" t="s">
        <v>11</v>
      </c>
      <c r="L1" t="s">
        <v>31</v>
      </c>
    </row>
    <row r="2" spans="1:12" x14ac:dyDescent="0.2">
      <c r="A2" t="s">
        <v>4</v>
      </c>
      <c r="B2">
        <v>23100</v>
      </c>
      <c r="C2" t="s">
        <v>8</v>
      </c>
      <c r="D2" t="s">
        <v>9</v>
      </c>
      <c r="E2">
        <v>5.2999999999999999E-2</v>
      </c>
      <c r="F2" s="7" t="s">
        <v>42</v>
      </c>
      <c r="G2">
        <f>B2*E2/L2</f>
        <v>7.0634050654820273</v>
      </c>
      <c r="L2">
        <v>173.33</v>
      </c>
    </row>
    <row r="3" spans="1:12" x14ac:dyDescent="0.2">
      <c r="A3" t="s">
        <v>5</v>
      </c>
      <c r="B3">
        <v>23600</v>
      </c>
      <c r="C3" t="s">
        <v>8</v>
      </c>
      <c r="D3" t="s">
        <v>9</v>
      </c>
      <c r="E3">
        <v>5.3999999999999999E-2</v>
      </c>
      <c r="F3" s="7" t="s">
        <v>42</v>
      </c>
      <c r="G3">
        <f>B3*E3/L2</f>
        <v>7.3524490855593374</v>
      </c>
    </row>
    <row r="4" spans="1:12" x14ac:dyDescent="0.2">
      <c r="A4" t="s">
        <v>6</v>
      </c>
      <c r="B4">
        <v>23700</v>
      </c>
      <c r="C4" t="s">
        <v>8</v>
      </c>
      <c r="D4" t="s">
        <v>9</v>
      </c>
      <c r="E4">
        <v>5.5E-2</v>
      </c>
      <c r="F4" s="7" t="s">
        <v>42</v>
      </c>
      <c r="G4">
        <f>B4*E4/L2</f>
        <v>7.5203369295563371</v>
      </c>
    </row>
    <row r="5" spans="1:12" x14ac:dyDescent="0.2">
      <c r="A5" t="s">
        <v>7</v>
      </c>
      <c r="B5">
        <v>24100</v>
      </c>
      <c r="C5" t="s">
        <v>8</v>
      </c>
      <c r="D5" t="s">
        <v>9</v>
      </c>
      <c r="E5">
        <v>5.6000000000000001E-2</v>
      </c>
      <c r="F5" s="7" t="s">
        <v>42</v>
      </c>
      <c r="G5">
        <f>B5*E5/L2</f>
        <v>7.7863035827612075</v>
      </c>
    </row>
    <row r="6" spans="1:12" x14ac:dyDescent="0.2">
      <c r="A6" t="s">
        <v>12</v>
      </c>
      <c r="G6">
        <f>AVERAGE(G2:G5)</f>
        <v>7.4306236658397271</v>
      </c>
    </row>
  </sheetData>
  <hyperlinks>
    <hyperlink ref="F2" r:id="rId1" xr:uid="{B1B2BB11-E742-8140-9E24-2022820BD441}"/>
    <hyperlink ref="F3" r:id="rId2" xr:uid="{6549025C-63F9-F347-965A-37D8362BF682}"/>
    <hyperlink ref="F4" r:id="rId3" xr:uid="{D7A3B84F-F39F-C54D-B234-A7272BC66164}"/>
    <hyperlink ref="F5" r:id="rId4" xr:uid="{54355D93-21F2-F440-A92E-A153B7408D9F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58D6-5C37-6241-A9E9-E52BAA45E9C9}">
  <dimension ref="A1:E2"/>
  <sheetViews>
    <sheetView workbookViewId="0">
      <selection activeCell="E2" sqref="E2"/>
    </sheetView>
  </sheetViews>
  <sheetFormatPr baseColWidth="10" defaultRowHeight="16" x14ac:dyDescent="0.2"/>
  <sheetData>
    <row r="1" spans="1:5" x14ac:dyDescent="0.2">
      <c r="A1" t="s">
        <v>13</v>
      </c>
      <c r="B1" t="s">
        <v>1</v>
      </c>
      <c r="C1" t="s">
        <v>14</v>
      </c>
      <c r="D1" t="s">
        <v>1</v>
      </c>
      <c r="E1" t="s">
        <v>17</v>
      </c>
    </row>
    <row r="2" spans="1:5" x14ac:dyDescent="0.2">
      <c r="A2" s="1">
        <v>4.1100000000000003</v>
      </c>
      <c r="B2" t="s">
        <v>15</v>
      </c>
      <c r="C2">
        <v>1.3392999999999999</v>
      </c>
      <c r="D2" t="s">
        <v>16</v>
      </c>
      <c r="E2">
        <f>A2*C2</f>
        <v>5.5045229999999998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20FB-8965-7B43-8E5B-DEE3341CCD6A}">
  <dimension ref="A1:E2"/>
  <sheetViews>
    <sheetView workbookViewId="0">
      <selection activeCell="D2" sqref="D2"/>
    </sheetView>
  </sheetViews>
  <sheetFormatPr baseColWidth="10" defaultRowHeight="16" x14ac:dyDescent="0.2"/>
  <sheetData>
    <row r="1" spans="1:5" x14ac:dyDescent="0.2">
      <c r="A1" t="s">
        <v>18</v>
      </c>
      <c r="B1" t="s">
        <v>1</v>
      </c>
      <c r="C1" t="s">
        <v>19</v>
      </c>
      <c r="D1" t="s">
        <v>1</v>
      </c>
      <c r="E1" t="s">
        <v>17</v>
      </c>
    </row>
    <row r="2" spans="1:5" x14ac:dyDescent="0.2">
      <c r="A2" s="2">
        <v>1.69</v>
      </c>
      <c r="B2" t="s">
        <v>15</v>
      </c>
      <c r="C2">
        <v>1.3185</v>
      </c>
      <c r="D2" t="s">
        <v>16</v>
      </c>
      <c r="E2">
        <f>A2*C2</f>
        <v>2.2282649999999999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E7E5-CE8C-7342-975F-88A2F9811381}">
  <dimension ref="A1:L2"/>
  <sheetViews>
    <sheetView workbookViewId="0">
      <selection activeCell="D1" sqref="D1"/>
    </sheetView>
  </sheetViews>
  <sheetFormatPr baseColWidth="10" defaultRowHeight="16" x14ac:dyDescent="0.2"/>
  <sheetData>
    <row r="1" spans="1:12" x14ac:dyDescent="0.2">
      <c r="A1" t="s">
        <v>29</v>
      </c>
      <c r="B1" t="s">
        <v>0</v>
      </c>
      <c r="C1" t="s">
        <v>1</v>
      </c>
      <c r="D1" t="s">
        <v>21</v>
      </c>
      <c r="F1" t="s">
        <v>23</v>
      </c>
      <c r="H1" t="s">
        <v>24</v>
      </c>
      <c r="L1" t="s">
        <v>32</v>
      </c>
    </row>
    <row r="2" spans="1:12" x14ac:dyDescent="0.2">
      <c r="A2" s="3">
        <v>78776</v>
      </c>
      <c r="B2" t="s">
        <v>33</v>
      </c>
      <c r="C2" t="s">
        <v>30</v>
      </c>
      <c r="D2">
        <v>0.27227000000000001</v>
      </c>
      <c r="E2" s="7" t="s">
        <v>22</v>
      </c>
      <c r="F2" s="5">
        <v>0.97087000000000001</v>
      </c>
      <c r="G2" s="4"/>
      <c r="H2">
        <f>A2*D2*F2/L2</f>
        <v>10.011322755539616</v>
      </c>
      <c r="L2">
        <v>2080</v>
      </c>
    </row>
  </sheetData>
  <hyperlinks>
    <hyperlink ref="E2" r:id="rId1" xr:uid="{C5ECAF92-08BD-6C4B-B4FD-8AA3AA84EEB9}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B611-DF54-1D48-934E-05316B2DEE7D}">
  <dimension ref="A1:M6"/>
  <sheetViews>
    <sheetView workbookViewId="0">
      <selection activeCell="F2" sqref="F2"/>
    </sheetView>
  </sheetViews>
  <sheetFormatPr baseColWidth="10" defaultRowHeight="16" x14ac:dyDescent="0.2"/>
  <cols>
    <col min="1" max="1" width="13.1640625" customWidth="1"/>
  </cols>
  <sheetData>
    <row r="1" spans="1:13" x14ac:dyDescent="0.2">
      <c r="A1" t="s">
        <v>2</v>
      </c>
      <c r="B1" t="s">
        <v>3</v>
      </c>
      <c r="C1" t="s">
        <v>0</v>
      </c>
      <c r="D1" t="s">
        <v>1</v>
      </c>
      <c r="E1" t="s">
        <v>27</v>
      </c>
      <c r="F1" t="s">
        <v>1</v>
      </c>
      <c r="G1" t="s">
        <v>11</v>
      </c>
      <c r="L1" t="s">
        <v>31</v>
      </c>
    </row>
    <row r="2" spans="1:13" x14ac:dyDescent="0.2">
      <c r="A2" t="s">
        <v>4</v>
      </c>
      <c r="B2" s="8">
        <v>3030000</v>
      </c>
      <c r="C2" t="s">
        <v>25</v>
      </c>
      <c r="D2" t="s">
        <v>26</v>
      </c>
      <c r="E2">
        <v>6.3999999999999997E-5</v>
      </c>
      <c r="F2" s="7" t="s">
        <v>28</v>
      </c>
      <c r="G2">
        <f>B2*E2/L2</f>
        <v>1.1187907459758839</v>
      </c>
      <c r="L2">
        <v>173.33</v>
      </c>
    </row>
    <row r="3" spans="1:13" x14ac:dyDescent="0.2">
      <c r="A3" t="s">
        <v>5</v>
      </c>
      <c r="B3" s="8">
        <v>3250000</v>
      </c>
      <c r="C3" t="s">
        <v>25</v>
      </c>
      <c r="D3" t="s">
        <v>26</v>
      </c>
      <c r="E3">
        <v>6.3E-5</v>
      </c>
      <c r="F3" s="7" t="s">
        <v>28</v>
      </c>
      <c r="G3">
        <f>B3*E3/L2</f>
        <v>1.181272716783015</v>
      </c>
      <c r="M3" s="6"/>
    </row>
    <row r="4" spans="1:13" x14ac:dyDescent="0.2">
      <c r="A4" t="s">
        <v>12</v>
      </c>
      <c r="G4">
        <f>AVERAGE(G2:G3)</f>
        <v>1.1500317313794495</v>
      </c>
    </row>
    <row r="5" spans="1:13" x14ac:dyDescent="0.2">
      <c r="B5" s="8"/>
    </row>
    <row r="6" spans="1:13" x14ac:dyDescent="0.2">
      <c r="B6" s="8"/>
      <c r="M6" s="6"/>
    </row>
  </sheetData>
  <hyperlinks>
    <hyperlink ref="F2" r:id="rId1" xr:uid="{6F82126B-63E5-1947-A5AC-2121D343F529}"/>
    <hyperlink ref="F3" r:id="rId2" xr:uid="{6AFBB727-5892-EF49-B74F-4188F1AB2781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2B73-96E8-AC49-989C-687BFD00E4F3}">
  <dimension ref="A1:L7"/>
  <sheetViews>
    <sheetView workbookViewId="0">
      <selection activeCell="G2" sqref="G2"/>
    </sheetView>
  </sheetViews>
  <sheetFormatPr baseColWidth="10" defaultRowHeight="16" x14ac:dyDescent="0.2"/>
  <sheetData>
    <row r="1" spans="1:12" x14ac:dyDescent="0.2">
      <c r="A1" t="s">
        <v>2</v>
      </c>
      <c r="B1" t="s">
        <v>3</v>
      </c>
      <c r="C1" t="s">
        <v>0</v>
      </c>
      <c r="D1" t="s">
        <v>1</v>
      </c>
      <c r="E1" t="s">
        <v>37</v>
      </c>
      <c r="F1" t="s">
        <v>1</v>
      </c>
      <c r="G1" t="s">
        <v>11</v>
      </c>
      <c r="L1" t="s">
        <v>31</v>
      </c>
    </row>
    <row r="2" spans="1:12" x14ac:dyDescent="0.2">
      <c r="A2" t="s">
        <v>4</v>
      </c>
      <c r="B2" s="8">
        <v>14200</v>
      </c>
      <c r="C2" t="s">
        <v>35</v>
      </c>
      <c r="D2" s="7" t="s">
        <v>36</v>
      </c>
      <c r="E2">
        <v>2.8000000000000001E-2</v>
      </c>
      <c r="F2" s="7" t="s">
        <v>43</v>
      </c>
      <c r="G2">
        <f>B2*E2/L2</f>
        <v>2.2938902671205215</v>
      </c>
      <c r="L2">
        <v>173.33</v>
      </c>
    </row>
    <row r="3" spans="1:12" x14ac:dyDescent="0.2">
      <c r="A3" t="s">
        <v>5</v>
      </c>
      <c r="B3" s="8">
        <v>14400</v>
      </c>
      <c r="C3" t="s">
        <v>35</v>
      </c>
      <c r="D3" s="7" t="s">
        <v>36</v>
      </c>
      <c r="E3">
        <v>2.75E-2</v>
      </c>
      <c r="F3" s="7" t="s">
        <v>43</v>
      </c>
      <c r="G3">
        <f>B3*E3/L2</f>
        <v>2.2846593203715453</v>
      </c>
    </row>
    <row r="4" spans="1:12" x14ac:dyDescent="0.2">
      <c r="A4" t="s">
        <v>6</v>
      </c>
      <c r="B4" s="8">
        <v>14500</v>
      </c>
      <c r="C4" t="s">
        <v>35</v>
      </c>
      <c r="D4" s="7" t="s">
        <v>36</v>
      </c>
      <c r="E4">
        <v>2.8500000000000001E-2</v>
      </c>
      <c r="F4" s="7" t="s">
        <v>43</v>
      </c>
      <c r="G4" s="8">
        <f>B4*E4/L2</f>
        <v>2.3841804650089422</v>
      </c>
    </row>
    <row r="5" spans="1:12" x14ac:dyDescent="0.2">
      <c r="A5" t="s">
        <v>12</v>
      </c>
      <c r="G5">
        <f>AVERAGE(G3:G4)</f>
        <v>2.334419892690244</v>
      </c>
    </row>
    <row r="6" spans="1:12" x14ac:dyDescent="0.2">
      <c r="B6" s="8"/>
      <c r="D6" s="7"/>
    </row>
    <row r="7" spans="1:12" x14ac:dyDescent="0.2">
      <c r="B7" s="8"/>
      <c r="D7" s="7"/>
      <c r="G7" s="8"/>
    </row>
  </sheetData>
  <hyperlinks>
    <hyperlink ref="D3" r:id="rId1" xr:uid="{4D60D4D0-3E10-EC46-B479-EE8AD55E067D}"/>
    <hyperlink ref="D2" r:id="rId2" xr:uid="{54C1690F-4AE1-5345-9491-8D209A3073F3}"/>
    <hyperlink ref="F2" r:id="rId3" xr:uid="{602C5A2C-8D1F-844A-9CF2-DB8869830F1F}"/>
    <hyperlink ref="F3" r:id="rId4" xr:uid="{62666049-2F66-0C40-9370-4B297F29C273}"/>
    <hyperlink ref="F4" r:id="rId5" xr:uid="{8B023943-6743-1643-80EF-0139AF5E5952}"/>
  </hyperlink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058C-89FB-B548-91C8-57C80D94561D}">
  <dimension ref="A1:L1048576"/>
  <sheetViews>
    <sheetView workbookViewId="0">
      <selection activeCell="G6" sqref="G6"/>
    </sheetView>
  </sheetViews>
  <sheetFormatPr baseColWidth="10" defaultRowHeight="16" x14ac:dyDescent="0.2"/>
  <sheetData>
    <row r="1" spans="1:12" x14ac:dyDescent="0.2">
      <c r="A1" t="s">
        <v>2</v>
      </c>
      <c r="B1" t="s">
        <v>3</v>
      </c>
      <c r="C1" t="s">
        <v>0</v>
      </c>
      <c r="D1" t="s">
        <v>1</v>
      </c>
      <c r="E1" t="s">
        <v>40</v>
      </c>
      <c r="F1" t="s">
        <v>1</v>
      </c>
      <c r="G1" t="s">
        <v>11</v>
      </c>
      <c r="L1" t="s">
        <v>31</v>
      </c>
    </row>
    <row r="2" spans="1:12" x14ac:dyDescent="0.2">
      <c r="A2" s="9">
        <v>45292</v>
      </c>
      <c r="B2" s="8">
        <v>3520</v>
      </c>
      <c r="C2" t="s">
        <v>38</v>
      </c>
      <c r="D2" s="7" t="s">
        <v>39</v>
      </c>
      <c r="E2">
        <v>0.21759999999999999</v>
      </c>
      <c r="F2" t="s">
        <v>41</v>
      </c>
      <c r="G2">
        <f>B2*E2/L2</f>
        <v>4.4190388276697625</v>
      </c>
      <c r="L2">
        <v>173.33</v>
      </c>
    </row>
    <row r="3" spans="1:12" x14ac:dyDescent="0.2">
      <c r="A3" s="9">
        <v>45323</v>
      </c>
      <c r="B3" s="8">
        <v>3480</v>
      </c>
      <c r="C3" t="s">
        <v>38</v>
      </c>
      <c r="D3" s="7" t="s">
        <v>39</v>
      </c>
      <c r="E3">
        <v>0.21149999999999999</v>
      </c>
      <c r="F3" t="s">
        <v>41</v>
      </c>
      <c r="G3" s="8">
        <f>B3*E3/L2</f>
        <v>4.2463508913632948</v>
      </c>
    </row>
    <row r="4" spans="1:12" x14ac:dyDescent="0.2">
      <c r="A4" s="9">
        <v>45352</v>
      </c>
      <c r="B4" s="8">
        <v>3480</v>
      </c>
      <c r="C4" t="s">
        <v>38</v>
      </c>
      <c r="D4" s="7" t="s">
        <v>39</v>
      </c>
      <c r="E4">
        <v>0.2117</v>
      </c>
      <c r="F4" t="s">
        <v>41</v>
      </c>
      <c r="G4" s="8">
        <f>B4*E4/L2</f>
        <v>4.2503663531990998</v>
      </c>
    </row>
    <row r="5" spans="1:12" x14ac:dyDescent="0.2">
      <c r="A5" s="9">
        <v>45383</v>
      </c>
      <c r="B5" s="8">
        <v>3420</v>
      </c>
      <c r="C5" t="s">
        <v>38</v>
      </c>
      <c r="D5" s="7" t="s">
        <v>39</v>
      </c>
      <c r="E5">
        <v>0.21060000000000001</v>
      </c>
      <c r="F5" t="s">
        <v>41</v>
      </c>
      <c r="G5" s="8">
        <f>B5*E5/L2</f>
        <v>4.1553799111521377</v>
      </c>
    </row>
    <row r="6" spans="1:12" x14ac:dyDescent="0.2">
      <c r="A6" s="9">
        <v>45413</v>
      </c>
      <c r="B6" s="8">
        <v>3440</v>
      </c>
      <c r="C6" t="s">
        <v>38</v>
      </c>
      <c r="D6" s="7" t="s">
        <v>39</v>
      </c>
      <c r="E6">
        <v>0.21029999999999999</v>
      </c>
      <c r="F6" t="s">
        <v>34</v>
      </c>
      <c r="G6" s="8">
        <f>B6*E6/L2</f>
        <v>4.1737264178157263</v>
      </c>
    </row>
    <row r="7" spans="1:12" x14ac:dyDescent="0.2">
      <c r="A7" s="9">
        <v>45444</v>
      </c>
      <c r="B7" s="8">
        <v>3460</v>
      </c>
      <c r="C7" t="s">
        <v>38</v>
      </c>
      <c r="D7" s="7" t="s">
        <v>39</v>
      </c>
      <c r="E7">
        <v>0.21240000000000001</v>
      </c>
      <c r="F7" t="s">
        <v>44</v>
      </c>
      <c r="G7" s="8">
        <f>B7*E7/L2</f>
        <v>4.2399123060058841</v>
      </c>
    </row>
    <row r="8" spans="1:12" x14ac:dyDescent="0.2">
      <c r="A8" s="9">
        <v>45474</v>
      </c>
      <c r="B8" s="8">
        <v>3430</v>
      </c>
      <c r="C8" t="s">
        <v>38</v>
      </c>
      <c r="D8" s="7" t="s">
        <v>39</v>
      </c>
      <c r="E8">
        <v>0.2122</v>
      </c>
      <c r="F8" t="s">
        <v>45</v>
      </c>
      <c r="G8" s="8">
        <f>B8*E8/L2</f>
        <v>4.1991922921594647</v>
      </c>
    </row>
    <row r="9" spans="1:12" x14ac:dyDescent="0.2">
      <c r="A9" s="9">
        <v>45505</v>
      </c>
      <c r="B9" s="8">
        <v>3410</v>
      </c>
      <c r="C9" t="s">
        <v>38</v>
      </c>
      <c r="D9" s="7" t="s">
        <v>39</v>
      </c>
      <c r="E9">
        <v>0.22600000000000001</v>
      </c>
      <c r="F9" t="s">
        <v>46</v>
      </c>
      <c r="G9" s="8">
        <f>B9*E9/L2</f>
        <v>4.4462008884786242</v>
      </c>
    </row>
    <row r="10" spans="1:12" x14ac:dyDescent="0.2">
      <c r="A10" s="9">
        <v>45536</v>
      </c>
      <c r="B10" s="8">
        <v>3440</v>
      </c>
      <c r="C10" t="s">
        <v>38</v>
      </c>
      <c r="D10" s="7" t="s">
        <v>39</v>
      </c>
      <c r="E10">
        <v>0.23150000000000001</v>
      </c>
      <c r="F10" t="s">
        <v>47</v>
      </c>
      <c r="G10" s="8">
        <f>B10*E10/L2</f>
        <v>4.5944729706340501</v>
      </c>
    </row>
    <row r="11" spans="1:12" x14ac:dyDescent="0.2">
      <c r="A11" s="9">
        <v>45566</v>
      </c>
      <c r="B11" s="8">
        <v>3450</v>
      </c>
      <c r="C11" t="s">
        <v>38</v>
      </c>
      <c r="D11" s="7" t="s">
        <v>39</v>
      </c>
      <c r="E11">
        <v>0.24010000000000001</v>
      </c>
      <c r="F11" t="s">
        <v>48</v>
      </c>
      <c r="G11" s="8">
        <f>B11*E11/L2</f>
        <v>4.779005365487798</v>
      </c>
    </row>
    <row r="12" spans="1:12" x14ac:dyDescent="0.2">
      <c r="A12" s="9">
        <v>45597</v>
      </c>
      <c r="B12" s="8">
        <v>3460</v>
      </c>
      <c r="C12" t="s">
        <v>38</v>
      </c>
      <c r="D12" s="7" t="s">
        <v>39</v>
      </c>
      <c r="E12">
        <v>0.22839999999999999</v>
      </c>
      <c r="F12" t="s">
        <v>49</v>
      </c>
      <c r="G12" s="8">
        <f>B12*E12/L2</f>
        <v>4.5593030635204519</v>
      </c>
    </row>
    <row r="13" spans="1:12" x14ac:dyDescent="0.2">
      <c r="A13" s="9">
        <v>45627</v>
      </c>
      <c r="B13" s="8">
        <v>3710</v>
      </c>
      <c r="C13" t="s">
        <v>38</v>
      </c>
      <c r="D13" s="7" t="s">
        <v>39</v>
      </c>
      <c r="E13">
        <v>0.22370000000000001</v>
      </c>
      <c r="F13" t="s">
        <v>50</v>
      </c>
      <c r="G13" s="8">
        <f>B13*E13/L2</f>
        <v>4.7881324640858471</v>
      </c>
    </row>
    <row r="14" spans="1:12" x14ac:dyDescent="0.2">
      <c r="A14" s="9" t="s">
        <v>51</v>
      </c>
      <c r="D14" s="7"/>
      <c r="G14">
        <f>AVERAGE(G2:G13)</f>
        <v>4.4042568126310115</v>
      </c>
    </row>
    <row r="15" spans="1:12" x14ac:dyDescent="0.2">
      <c r="A15" s="9"/>
      <c r="D15" s="7"/>
    </row>
    <row r="16" spans="1:12" x14ac:dyDescent="0.2">
      <c r="A16" s="9"/>
      <c r="D16" s="7"/>
    </row>
    <row r="17" spans="1:4" x14ac:dyDescent="0.2">
      <c r="A17" s="9"/>
      <c r="D17" s="7"/>
    </row>
    <row r="18" spans="1:4" x14ac:dyDescent="0.2">
      <c r="A18" s="9"/>
      <c r="D18" s="7"/>
    </row>
    <row r="1048576" spans="6:6" x14ac:dyDescent="0.2">
      <c r="F1048576" t="s">
        <v>41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DB48-7C2D-7941-AD58-3415509E6DAA}">
  <dimension ref="A1:L14"/>
  <sheetViews>
    <sheetView workbookViewId="0">
      <selection activeCell="G10" sqref="G10"/>
    </sheetView>
  </sheetViews>
  <sheetFormatPr baseColWidth="10" defaultRowHeight="16" x14ac:dyDescent="0.2"/>
  <sheetData>
    <row r="1" spans="1:12" x14ac:dyDescent="0.2">
      <c r="A1" t="s">
        <v>2</v>
      </c>
      <c r="B1" t="s">
        <v>3</v>
      </c>
      <c r="C1" t="s">
        <v>0</v>
      </c>
      <c r="D1" t="s">
        <v>1</v>
      </c>
      <c r="E1" t="s">
        <v>54</v>
      </c>
      <c r="F1" t="s">
        <v>1</v>
      </c>
      <c r="G1" t="s">
        <v>11</v>
      </c>
      <c r="L1" t="s">
        <v>31</v>
      </c>
    </row>
    <row r="2" spans="1:12" x14ac:dyDescent="0.2">
      <c r="A2" s="9">
        <v>45292</v>
      </c>
      <c r="B2" s="8">
        <v>77200</v>
      </c>
      <c r="C2" t="s">
        <v>52</v>
      </c>
      <c r="D2" s="7" t="s">
        <v>53</v>
      </c>
      <c r="E2">
        <v>1.106E-2</v>
      </c>
      <c r="F2" t="s">
        <v>41</v>
      </c>
      <c r="G2">
        <f>B2*E2/L2</f>
        <v>4.9260485778572658</v>
      </c>
      <c r="L2">
        <v>173.33</v>
      </c>
    </row>
    <row r="3" spans="1:12" x14ac:dyDescent="0.2">
      <c r="A3" s="9">
        <v>45323</v>
      </c>
      <c r="B3" s="8">
        <v>77600</v>
      </c>
      <c r="C3" t="s">
        <v>52</v>
      </c>
      <c r="D3" s="7" t="s">
        <v>53</v>
      </c>
      <c r="E3">
        <v>1.1050000000000001E-2</v>
      </c>
      <c r="F3" t="s">
        <v>41</v>
      </c>
      <c r="G3" s="8">
        <f>B3*E3/L2</f>
        <v>4.9470951364449318</v>
      </c>
    </row>
    <row r="4" spans="1:12" x14ac:dyDescent="0.2">
      <c r="A4" s="9">
        <v>45352</v>
      </c>
      <c r="B4" s="8">
        <v>85000</v>
      </c>
      <c r="C4" t="s">
        <v>52</v>
      </c>
      <c r="D4" s="7" t="s">
        <v>53</v>
      </c>
      <c r="E4">
        <v>1.093E-2</v>
      </c>
      <c r="F4" t="s">
        <v>41</v>
      </c>
      <c r="G4" s="8">
        <f>B4*E4/L2</f>
        <v>5.3600069232100616</v>
      </c>
    </row>
    <row r="5" spans="1:12" x14ac:dyDescent="0.2">
      <c r="A5" s="9">
        <v>45383</v>
      </c>
      <c r="B5" s="8">
        <v>84200</v>
      </c>
      <c r="C5" t="s">
        <v>52</v>
      </c>
      <c r="D5" s="7" t="s">
        <v>53</v>
      </c>
      <c r="E5">
        <v>1.069E-2</v>
      </c>
      <c r="F5" t="s">
        <v>41</v>
      </c>
      <c r="G5" s="8">
        <f>B5*E5/L2</f>
        <v>5.1929729417873416</v>
      </c>
    </row>
    <row r="6" spans="1:12" x14ac:dyDescent="0.2">
      <c r="A6" s="9">
        <v>45413</v>
      </c>
      <c r="B6" s="8">
        <v>83900</v>
      </c>
      <c r="C6" t="s">
        <v>52</v>
      </c>
      <c r="D6" s="7" t="s">
        <v>53</v>
      </c>
      <c r="E6">
        <v>1.099E-2</v>
      </c>
      <c r="F6" t="s">
        <v>34</v>
      </c>
      <c r="G6" s="8">
        <f>B6*E6/L2</f>
        <v>5.3196849939421913</v>
      </c>
    </row>
    <row r="7" spans="1:12" x14ac:dyDescent="0.2">
      <c r="A7" s="9">
        <v>45444</v>
      </c>
      <c r="B7" s="8">
        <v>85100</v>
      </c>
      <c r="C7" t="s">
        <v>52</v>
      </c>
      <c r="D7" s="7" t="s">
        <v>53</v>
      </c>
      <c r="E7">
        <v>1.12E-2</v>
      </c>
      <c r="F7" t="s">
        <v>44</v>
      </c>
      <c r="G7" s="8">
        <f>B7*E7/L2</f>
        <v>5.4988749783649684</v>
      </c>
    </row>
    <row r="8" spans="1:12" x14ac:dyDescent="0.2">
      <c r="A8" s="9">
        <v>45474</v>
      </c>
      <c r="B8" s="8">
        <v>88600</v>
      </c>
      <c r="C8" t="s">
        <v>52</v>
      </c>
      <c r="D8" s="7" t="s">
        <v>53</v>
      </c>
      <c r="E8">
        <v>1.124E-2</v>
      </c>
      <c r="F8" t="s">
        <v>45</v>
      </c>
      <c r="G8" s="8">
        <f>B8*E8/L2</f>
        <v>5.7454797207638606</v>
      </c>
    </row>
    <row r="9" spans="1:12" x14ac:dyDescent="0.2">
      <c r="A9" s="9">
        <v>45505</v>
      </c>
      <c r="B9" s="8">
        <v>86800</v>
      </c>
      <c r="C9" t="s">
        <v>52</v>
      </c>
      <c r="D9" s="7" t="s">
        <v>53</v>
      </c>
      <c r="E9">
        <v>1.176E-2</v>
      </c>
      <c r="F9" t="s">
        <v>46</v>
      </c>
      <c r="G9" s="8">
        <f>B9*E9/L2</f>
        <v>5.8891594069116708</v>
      </c>
    </row>
    <row r="10" spans="1:12" x14ac:dyDescent="0.2">
      <c r="A10" s="9">
        <v>45536</v>
      </c>
      <c r="B10" s="8">
        <v>85400</v>
      </c>
      <c r="C10" t="s">
        <v>52</v>
      </c>
      <c r="D10" s="7" t="s">
        <v>53</v>
      </c>
      <c r="E10">
        <v>1.1050000000000001E-2</v>
      </c>
      <c r="F10" t="s">
        <v>47</v>
      </c>
      <c r="G10" s="8">
        <f>B10*E10/L2</f>
        <v>5.4443546991288292</v>
      </c>
    </row>
    <row r="11" spans="1:12" x14ac:dyDescent="0.2">
      <c r="A11" s="9">
        <v>45566</v>
      </c>
      <c r="B11" s="8">
        <v>89200</v>
      </c>
      <c r="C11" t="s">
        <v>52</v>
      </c>
      <c r="D11" s="7" t="s">
        <v>53</v>
      </c>
      <c r="E11">
        <v>1.0449999999999999E-2</v>
      </c>
      <c r="F11" t="s">
        <v>48</v>
      </c>
      <c r="G11" s="8">
        <f>B11*E11/L2</f>
        <v>5.3778341891190209</v>
      </c>
    </row>
    <row r="12" spans="1:12" x14ac:dyDescent="0.2">
      <c r="A12" s="9">
        <v>45597</v>
      </c>
      <c r="B12" s="8">
        <v>88200</v>
      </c>
      <c r="C12" t="s">
        <v>52</v>
      </c>
      <c r="D12" s="7" t="s">
        <v>53</v>
      </c>
      <c r="E12">
        <v>1.025E-2</v>
      </c>
      <c r="F12" t="s">
        <v>49</v>
      </c>
      <c r="G12" s="8">
        <f>B12*E12/L2</f>
        <v>5.2157733802573123</v>
      </c>
    </row>
    <row r="13" spans="1:12" x14ac:dyDescent="0.2">
      <c r="A13" s="9">
        <v>45627</v>
      </c>
      <c r="B13" s="8">
        <v>111000</v>
      </c>
      <c r="C13" t="s">
        <v>52</v>
      </c>
      <c r="D13" s="7" t="s">
        <v>53</v>
      </c>
      <c r="E13">
        <v>9.5239999999999995E-4</v>
      </c>
      <c r="F13" t="s">
        <v>50</v>
      </c>
      <c r="G13" s="8">
        <f>B13*E13/L2</f>
        <v>0.60991403680840006</v>
      </c>
    </row>
    <row r="14" spans="1:12" x14ac:dyDescent="0.2">
      <c r="A14" s="9" t="s">
        <v>51</v>
      </c>
      <c r="D14" s="7"/>
      <c r="G14">
        <f>AVERAGE(G2:G13)</f>
        <v>4.9605999153829883</v>
      </c>
    </row>
  </sheetData>
  <hyperlinks>
    <hyperlink ref="D2" r:id="rId1" xr:uid="{C18C93C4-F177-0647-B342-26D9A038B85D}"/>
    <hyperlink ref="D3:D13" r:id="rId2" display="https://tradingeconomics.com/russia/wages-in-manufacturing" xr:uid="{10D58D2A-B70C-1F42-9767-7414FBA18D4C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E573-2A3D-C342-874C-5454D97C27E4}">
  <dimension ref="A1:L2"/>
  <sheetViews>
    <sheetView workbookViewId="0">
      <selection activeCell="H2" sqref="H2"/>
    </sheetView>
  </sheetViews>
  <sheetFormatPr baseColWidth="10" defaultRowHeight="16" x14ac:dyDescent="0.2"/>
  <sheetData>
    <row r="1" spans="1:12" x14ac:dyDescent="0.2">
      <c r="A1" s="6" t="s">
        <v>29</v>
      </c>
      <c r="B1" s="6" t="s">
        <v>0</v>
      </c>
      <c r="C1" s="6" t="s">
        <v>1</v>
      </c>
      <c r="D1" s="6" t="s">
        <v>57</v>
      </c>
      <c r="E1" s="6"/>
      <c r="F1" s="6" t="s">
        <v>23</v>
      </c>
      <c r="G1" s="6"/>
      <c r="H1" s="6" t="s">
        <v>24</v>
      </c>
      <c r="I1" s="6"/>
      <c r="J1" s="6"/>
      <c r="K1" s="6"/>
      <c r="L1" s="6" t="s">
        <v>32</v>
      </c>
    </row>
    <row r="2" spans="1:12" x14ac:dyDescent="0.2">
      <c r="A2" s="10">
        <v>69656</v>
      </c>
      <c r="B2" s="6" t="s">
        <v>55</v>
      </c>
      <c r="C2" s="7" t="s">
        <v>56</v>
      </c>
      <c r="D2" s="6">
        <v>0.26674999999999999</v>
      </c>
      <c r="E2" s="6" t="s">
        <v>58</v>
      </c>
      <c r="F2" s="5">
        <v>0.97087000000000001</v>
      </c>
      <c r="G2" s="11"/>
      <c r="H2" s="6">
        <f>A2*D2/L2</f>
        <v>8.933047115384614</v>
      </c>
      <c r="I2" s="6"/>
      <c r="J2" s="6"/>
      <c r="K2" s="6"/>
      <c r="L2" s="6">
        <v>2080</v>
      </c>
    </row>
  </sheetData>
  <hyperlinks>
    <hyperlink ref="C2" r:id="rId1" xr:uid="{BAE13540-8FA8-9049-B4EB-11FC397DCA20}"/>
  </hyperlink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1316-4E35-BC49-A7F9-F074414CBB7D}">
  <dimension ref="A1:F33"/>
  <sheetViews>
    <sheetView workbookViewId="0">
      <selection activeCell="E2" sqref="E2"/>
    </sheetView>
  </sheetViews>
  <sheetFormatPr baseColWidth="10" defaultRowHeight="16" x14ac:dyDescent="0.2"/>
  <sheetData>
    <row r="1" spans="1:6" x14ac:dyDescent="0.2">
      <c r="A1" s="15" t="s">
        <v>59</v>
      </c>
      <c r="B1" s="15" t="s">
        <v>60</v>
      </c>
      <c r="C1" s="15" t="s">
        <v>1</v>
      </c>
      <c r="D1" s="15" t="s">
        <v>20</v>
      </c>
      <c r="E1" s="15" t="s">
        <v>1</v>
      </c>
      <c r="F1" s="15" t="s">
        <v>17</v>
      </c>
    </row>
    <row r="2" spans="1:6" x14ac:dyDescent="0.2">
      <c r="A2" s="12" t="s">
        <v>62</v>
      </c>
      <c r="B2" s="13">
        <v>39.03</v>
      </c>
      <c r="C2" t="s">
        <v>15</v>
      </c>
      <c r="D2">
        <v>1.3018000000000001</v>
      </c>
      <c r="E2" s="7" t="s">
        <v>61</v>
      </c>
      <c r="F2">
        <f>B2*D2</f>
        <v>50.809254000000003</v>
      </c>
    </row>
    <row r="3" spans="1:6" x14ac:dyDescent="0.2">
      <c r="A3" s="12" t="s">
        <v>90</v>
      </c>
      <c r="B3" s="13">
        <v>6.09</v>
      </c>
      <c r="C3" t="s">
        <v>15</v>
      </c>
      <c r="D3">
        <v>1.3018000000000001</v>
      </c>
      <c r="E3" s="7" t="s">
        <v>63</v>
      </c>
      <c r="F3">
        <f t="shared" ref="F3:F29" si="0">B3*D3</f>
        <v>7.927962</v>
      </c>
    </row>
    <row r="4" spans="1:6" x14ac:dyDescent="0.2">
      <c r="A4" t="s">
        <v>91</v>
      </c>
      <c r="B4" s="13">
        <v>38.19</v>
      </c>
      <c r="C4" t="s">
        <v>15</v>
      </c>
      <c r="D4">
        <v>1.3018000000000001</v>
      </c>
      <c r="E4" s="7" t="s">
        <v>64</v>
      </c>
      <c r="F4">
        <f t="shared" si="0"/>
        <v>49.715741999999999</v>
      </c>
    </row>
    <row r="5" spans="1:6" x14ac:dyDescent="0.2">
      <c r="A5" s="12" t="s">
        <v>92</v>
      </c>
      <c r="B5" s="13">
        <v>30.08</v>
      </c>
      <c r="C5" t="s">
        <v>15</v>
      </c>
      <c r="D5">
        <v>1.3018000000000001</v>
      </c>
      <c r="E5" s="7" t="s">
        <v>65</v>
      </c>
      <c r="F5">
        <f t="shared" si="0"/>
        <v>39.158144</v>
      </c>
    </row>
    <row r="6" spans="1:6" x14ac:dyDescent="0.2">
      <c r="A6" s="12" t="s">
        <v>93</v>
      </c>
      <c r="B6" s="13">
        <v>3.91</v>
      </c>
      <c r="C6" t="s">
        <v>15</v>
      </c>
      <c r="D6">
        <v>1.3018000000000001</v>
      </c>
      <c r="E6" s="7" t="s">
        <v>66</v>
      </c>
      <c r="F6">
        <f t="shared" si="0"/>
        <v>5.0900380000000007</v>
      </c>
    </row>
    <row r="7" spans="1:6" x14ac:dyDescent="0.2">
      <c r="A7" s="12" t="s">
        <v>94</v>
      </c>
      <c r="B7" s="13">
        <v>22.98</v>
      </c>
      <c r="C7" t="s">
        <v>15</v>
      </c>
      <c r="D7">
        <v>1.3018000000000001</v>
      </c>
      <c r="E7" s="7" t="s">
        <v>67</v>
      </c>
      <c r="F7">
        <f t="shared" si="0"/>
        <v>29.915364000000004</v>
      </c>
    </row>
    <row r="8" spans="1:6" x14ac:dyDescent="0.2">
      <c r="A8" s="12" t="s">
        <v>95</v>
      </c>
      <c r="B8" s="13">
        <v>32.49</v>
      </c>
      <c r="C8" t="s">
        <v>15</v>
      </c>
      <c r="D8">
        <v>1.3018000000000001</v>
      </c>
      <c r="E8" s="7" t="s">
        <v>68</v>
      </c>
      <c r="F8">
        <f t="shared" si="0"/>
        <v>42.295482000000007</v>
      </c>
    </row>
    <row r="9" spans="1:6" x14ac:dyDescent="0.2">
      <c r="A9" s="12" t="s">
        <v>96</v>
      </c>
      <c r="B9" s="13">
        <v>39.54</v>
      </c>
      <c r="C9" t="s">
        <v>15</v>
      </c>
      <c r="D9">
        <v>1.3018000000000001</v>
      </c>
      <c r="E9" s="7" t="s">
        <v>69</v>
      </c>
      <c r="F9">
        <f t="shared" si="0"/>
        <v>51.473171999999998</v>
      </c>
    </row>
    <row r="10" spans="1:6" x14ac:dyDescent="0.2">
      <c r="A10" s="12" t="s">
        <v>97</v>
      </c>
      <c r="B10" s="13">
        <v>38.72</v>
      </c>
      <c r="C10" t="s">
        <v>15</v>
      </c>
      <c r="D10">
        <v>1.3018000000000001</v>
      </c>
      <c r="E10" s="7" t="s">
        <v>70</v>
      </c>
      <c r="F10">
        <f t="shared" si="0"/>
        <v>50.405695999999999</v>
      </c>
    </row>
    <row r="11" spans="1:6" x14ac:dyDescent="0.2">
      <c r="A11" s="12" t="s">
        <v>98</v>
      </c>
      <c r="B11" s="13">
        <v>10.96</v>
      </c>
      <c r="C11" t="s">
        <v>15</v>
      </c>
      <c r="D11">
        <v>1.3018000000000001</v>
      </c>
      <c r="E11" s="7" t="s">
        <v>71</v>
      </c>
      <c r="F11">
        <f t="shared" si="0"/>
        <v>14.267728000000002</v>
      </c>
    </row>
    <row r="12" spans="1:6" x14ac:dyDescent="0.2">
      <c r="A12" s="12" t="s">
        <v>99</v>
      </c>
      <c r="B12" s="13">
        <v>43.18</v>
      </c>
      <c r="C12" t="s">
        <v>15</v>
      </c>
      <c r="D12">
        <v>1.3018000000000001</v>
      </c>
      <c r="E12" s="7" t="s">
        <v>72</v>
      </c>
      <c r="F12">
        <f t="shared" si="0"/>
        <v>56.211724000000004</v>
      </c>
    </row>
    <row r="13" spans="1:6" x14ac:dyDescent="0.2">
      <c r="A13" s="12" t="s">
        <v>100</v>
      </c>
      <c r="B13" s="13">
        <v>15.7</v>
      </c>
      <c r="C13" t="s">
        <v>15</v>
      </c>
      <c r="D13">
        <v>1.3018000000000001</v>
      </c>
      <c r="E13" s="7" t="s">
        <v>73</v>
      </c>
      <c r="F13">
        <f t="shared" si="0"/>
        <v>20.43826</v>
      </c>
    </row>
    <row r="14" spans="1:6" x14ac:dyDescent="0.2">
      <c r="A14" s="12" t="s">
        <v>101</v>
      </c>
      <c r="B14" s="13">
        <v>37.72</v>
      </c>
      <c r="C14" t="s">
        <v>15</v>
      </c>
      <c r="D14">
        <v>1.3018000000000001</v>
      </c>
      <c r="E14" s="7" t="s">
        <v>74</v>
      </c>
      <c r="F14">
        <f t="shared" si="0"/>
        <v>49.103895999999999</v>
      </c>
    </row>
    <row r="15" spans="1:6" x14ac:dyDescent="0.2">
      <c r="A15" s="12" t="s">
        <v>102</v>
      </c>
      <c r="B15" s="13">
        <v>7.98</v>
      </c>
      <c r="C15" t="s">
        <v>15</v>
      </c>
      <c r="D15">
        <v>1.3018000000000001</v>
      </c>
      <c r="E15" s="7" t="s">
        <v>75</v>
      </c>
      <c r="F15">
        <f t="shared" si="0"/>
        <v>10.388364000000001</v>
      </c>
    </row>
    <row r="16" spans="1:6" x14ac:dyDescent="0.2">
      <c r="A16" s="12" t="s">
        <v>103</v>
      </c>
      <c r="B16" s="13">
        <v>28.41</v>
      </c>
      <c r="C16" t="s">
        <v>15</v>
      </c>
      <c r="D16">
        <v>1.3018000000000001</v>
      </c>
      <c r="E16" s="7" t="s">
        <v>76</v>
      </c>
      <c r="F16">
        <f t="shared" si="0"/>
        <v>36.984138000000002</v>
      </c>
    </row>
    <row r="17" spans="1:6" x14ac:dyDescent="0.2">
      <c r="A17" s="12" t="s">
        <v>104</v>
      </c>
      <c r="B17" s="13">
        <v>23.44</v>
      </c>
      <c r="C17" t="s">
        <v>15</v>
      </c>
      <c r="D17">
        <v>1.3018000000000001</v>
      </c>
      <c r="E17" s="7" t="s">
        <v>77</v>
      </c>
      <c r="F17">
        <f t="shared" si="0"/>
        <v>30.514192000000005</v>
      </c>
    </row>
    <row r="18" spans="1:6" x14ac:dyDescent="0.2">
      <c r="A18" s="12" t="s">
        <v>105</v>
      </c>
      <c r="B18" s="13">
        <v>41.68</v>
      </c>
      <c r="C18" t="s">
        <v>15</v>
      </c>
      <c r="D18">
        <v>1.3018000000000001</v>
      </c>
      <c r="E18" s="7" t="s">
        <v>78</v>
      </c>
      <c r="F18">
        <f t="shared" si="0"/>
        <v>54.259024000000004</v>
      </c>
    </row>
    <row r="19" spans="1:6" x14ac:dyDescent="0.2">
      <c r="A19" s="12" t="s">
        <v>106</v>
      </c>
      <c r="B19" s="13">
        <v>10.71</v>
      </c>
      <c r="C19" t="s">
        <v>15</v>
      </c>
      <c r="D19">
        <v>1.3018000000000001</v>
      </c>
      <c r="E19" s="7" t="s">
        <v>79</v>
      </c>
      <c r="F19">
        <f t="shared" si="0"/>
        <v>13.942278000000002</v>
      </c>
    </row>
    <row r="20" spans="1:6" x14ac:dyDescent="0.2">
      <c r="A20" s="12" t="s">
        <v>107</v>
      </c>
      <c r="B20" s="13">
        <v>26.46</v>
      </c>
      <c r="C20" t="s">
        <v>15</v>
      </c>
      <c r="D20">
        <v>1.3018000000000001</v>
      </c>
      <c r="E20" s="7" t="s">
        <v>80</v>
      </c>
      <c r="F20">
        <f t="shared" si="0"/>
        <v>34.445628000000006</v>
      </c>
    </row>
    <row r="21" spans="1:6" x14ac:dyDescent="0.2">
      <c r="A21" s="12" t="s">
        <v>108</v>
      </c>
      <c r="B21" s="13">
        <v>47.26</v>
      </c>
      <c r="C21" t="s">
        <v>15</v>
      </c>
      <c r="D21">
        <v>1.3018000000000001</v>
      </c>
      <c r="E21" s="7" t="s">
        <v>81</v>
      </c>
      <c r="F21">
        <f t="shared" si="0"/>
        <v>61.523068000000002</v>
      </c>
    </row>
    <row r="22" spans="1:6" x14ac:dyDescent="0.2">
      <c r="A22" s="12" t="s">
        <v>109</v>
      </c>
      <c r="B22" s="13">
        <v>8.5299999999999994</v>
      </c>
      <c r="C22" t="s">
        <v>15</v>
      </c>
      <c r="D22">
        <v>1.3018000000000001</v>
      </c>
      <c r="E22" s="7" t="s">
        <v>82</v>
      </c>
      <c r="F22">
        <f t="shared" si="0"/>
        <v>11.104353999999999</v>
      </c>
    </row>
    <row r="23" spans="1:6" x14ac:dyDescent="0.2">
      <c r="A23" s="12" t="s">
        <v>110</v>
      </c>
      <c r="B23" s="13">
        <v>9.82</v>
      </c>
      <c r="C23" t="s">
        <v>15</v>
      </c>
      <c r="D23">
        <v>1.3018000000000001</v>
      </c>
      <c r="E23" s="7" t="s">
        <v>83</v>
      </c>
      <c r="F23">
        <f t="shared" si="0"/>
        <v>12.783676000000002</v>
      </c>
    </row>
    <row r="24" spans="1:6" x14ac:dyDescent="0.2">
      <c r="A24" s="12" t="s">
        <v>111</v>
      </c>
      <c r="B24" s="13">
        <v>60.36</v>
      </c>
      <c r="C24" t="s">
        <v>15</v>
      </c>
      <c r="D24">
        <v>1.3018000000000001</v>
      </c>
      <c r="E24" s="7" t="s">
        <v>84</v>
      </c>
      <c r="F24">
        <f t="shared" si="0"/>
        <v>78.576648000000006</v>
      </c>
    </row>
    <row r="25" spans="1:6" x14ac:dyDescent="0.2">
      <c r="A25" s="12" t="s">
        <v>112</v>
      </c>
      <c r="B25" s="13">
        <v>26.75</v>
      </c>
      <c r="C25" t="s">
        <v>15</v>
      </c>
      <c r="D25">
        <v>1.3018000000000001</v>
      </c>
      <c r="E25" s="7" t="s">
        <v>85</v>
      </c>
      <c r="F25">
        <f t="shared" si="0"/>
        <v>34.823149999999998</v>
      </c>
    </row>
    <row r="26" spans="1:6" x14ac:dyDescent="0.2">
      <c r="A26" s="12" t="s">
        <v>113</v>
      </c>
      <c r="B26" s="13">
        <v>8.6</v>
      </c>
      <c r="C26" t="s">
        <v>15</v>
      </c>
      <c r="D26">
        <v>1.3018000000000001</v>
      </c>
      <c r="E26" s="7" t="s">
        <v>86</v>
      </c>
      <c r="F26">
        <f t="shared" si="0"/>
        <v>11.19548</v>
      </c>
    </row>
    <row r="27" spans="1:6" ht="17" thickBot="1" x14ac:dyDescent="0.25">
      <c r="A27" s="12" t="s">
        <v>114</v>
      </c>
      <c r="B27" s="14">
        <v>2.06</v>
      </c>
      <c r="C27" t="s">
        <v>15</v>
      </c>
      <c r="D27">
        <v>1.3018000000000001</v>
      </c>
      <c r="E27" s="7" t="s">
        <v>87</v>
      </c>
      <c r="F27">
        <f t="shared" si="0"/>
        <v>2.6817080000000004</v>
      </c>
    </row>
    <row r="28" spans="1:6" ht="17" thickTop="1" x14ac:dyDescent="0.2">
      <c r="A28" s="12" t="s">
        <v>115</v>
      </c>
      <c r="B28" s="13">
        <v>34.6</v>
      </c>
      <c r="C28" t="s">
        <v>15</v>
      </c>
      <c r="D28">
        <v>1.3018000000000001</v>
      </c>
      <c r="E28" s="7" t="s">
        <v>88</v>
      </c>
      <c r="F28">
        <f t="shared" si="0"/>
        <v>45.042280000000005</v>
      </c>
    </row>
    <row r="29" spans="1:6" x14ac:dyDescent="0.2">
      <c r="A29" s="12" t="s">
        <v>116</v>
      </c>
      <c r="B29" s="13">
        <v>48.62</v>
      </c>
      <c r="C29" t="s">
        <v>15</v>
      </c>
      <c r="D29">
        <v>1.3018000000000001</v>
      </c>
      <c r="E29" s="7" t="s">
        <v>89</v>
      </c>
      <c r="F29">
        <f t="shared" si="0"/>
        <v>63.293515999999997</v>
      </c>
    </row>
    <row r="30" spans="1:6" x14ac:dyDescent="0.2">
      <c r="E30" s="7"/>
    </row>
    <row r="31" spans="1:6" x14ac:dyDescent="0.2">
      <c r="E31" s="7"/>
    </row>
    <row r="32" spans="1:6" x14ac:dyDescent="0.2">
      <c r="E32" s="7"/>
    </row>
    <row r="33" spans="5:5" x14ac:dyDescent="0.2">
      <c r="E33" s="7"/>
    </row>
  </sheetData>
  <phoneticPr fontId="4" type="noConversion"/>
  <hyperlinks>
    <hyperlink ref="E2" r:id="rId1" xr:uid="{12130B43-9A5E-4746-AAA9-CA5DC84610E5}"/>
    <hyperlink ref="E3:E33" r:id="rId2" display="https://data.bls.gov/cgi-bin/cpicalc.pl?cost1=100.00&amp;year1=201601&amp;year2=202401" xr:uid="{F3011B54-FBFC-F54F-8ECF-0ADFD9901D91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South Africa</vt:lpstr>
      <vt:lpstr>China</vt:lpstr>
      <vt:lpstr>India</vt:lpstr>
      <vt:lpstr>UAE</vt:lpstr>
      <vt:lpstr>Indonesia</vt:lpstr>
      <vt:lpstr>Thailand</vt:lpstr>
      <vt:lpstr>Malaysia</vt:lpstr>
      <vt:lpstr>Russia</vt:lpstr>
      <vt:lpstr>Saudi Arabia</vt:lpstr>
      <vt:lpstr>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Danika Eamer</dc:creator>
  <cp:lastModifiedBy>Danika Eamer</cp:lastModifiedBy>
  <dcterms:created xsi:type="dcterms:W3CDTF">2025-06-16T23:01:49Z</dcterms:created>
  <dcterms:modified xsi:type="dcterms:W3CDTF">2025-06-17T21:33:13Z</dcterms:modified>
</cp:coreProperties>
</file>