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graceendy/Git/MIT_NavigaTE_inputs/data/"/>
    </mc:Choice>
  </mc:AlternateContent>
  <xr:revisionPtr revIDLastSave="0" documentId="13_ncr:1_{EE866CE0-8689-7543-AC86-58B7EDF718D2}" xr6:coauthVersionLast="47" xr6:coauthVersionMax="47" xr10:uidLastSave="{00000000-0000-0000-0000-000000000000}"/>
  <bookViews>
    <workbookView xWindow="10940" yWindow="680" windowWidth="14660" windowHeight="14580" activeTab="3" xr2:uid="{00000000-000D-0000-FFFF-FFFF00000000}"/>
  </bookViews>
  <sheets>
    <sheet name="Electricity" sheetId="1" r:id="rId1"/>
    <sheet name="Natural Gas" sheetId="2" r:id="rId2"/>
    <sheet name="Water" sheetId="3" r:id="rId3"/>
    <sheet name="Carbon Diox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" i="2" l="1"/>
  <c r="I113" i="2"/>
  <c r="J113" i="2"/>
  <c r="C219" i="4"/>
  <c r="C218" i="4"/>
  <c r="C217" i="4"/>
  <c r="C216" i="4"/>
  <c r="C215" i="4"/>
  <c r="C214" i="4"/>
  <c r="C213" i="4"/>
  <c r="I196" i="4"/>
  <c r="B196" i="4" s="1"/>
  <c r="C196" i="4"/>
  <c r="I195" i="4"/>
  <c r="B195" i="4" s="1"/>
  <c r="C195" i="4"/>
  <c r="I194" i="4"/>
  <c r="B194" i="4" s="1"/>
  <c r="C194" i="4"/>
  <c r="I193" i="4"/>
  <c r="B193" i="4" s="1"/>
  <c r="C193" i="4"/>
  <c r="I192" i="4"/>
  <c r="B192" i="4" s="1"/>
  <c r="C192" i="4"/>
  <c r="I191" i="4"/>
  <c r="B191" i="4" s="1"/>
  <c r="C191" i="4"/>
  <c r="I190" i="4"/>
  <c r="C190" i="4"/>
  <c r="B190" i="4"/>
  <c r="I189" i="4"/>
  <c r="C189" i="4"/>
  <c r="B189" i="4"/>
  <c r="I188" i="4"/>
  <c r="C188" i="4"/>
  <c r="B188" i="4"/>
  <c r="I187" i="4"/>
  <c r="B187" i="4" s="1"/>
  <c r="C187" i="4"/>
  <c r="I186" i="4"/>
  <c r="B186" i="4" s="1"/>
  <c r="C186" i="4"/>
  <c r="I185" i="4"/>
  <c r="C185" i="4"/>
  <c r="B185" i="4"/>
  <c r="I184" i="4"/>
  <c r="B184" i="4" s="1"/>
  <c r="C184" i="4"/>
  <c r="I183" i="4"/>
  <c r="B183" i="4" s="1"/>
  <c r="C183" i="4"/>
  <c r="I182" i="4"/>
  <c r="C182" i="4"/>
  <c r="B182" i="4"/>
  <c r="I181" i="4"/>
  <c r="C181" i="4"/>
  <c r="B181" i="4"/>
  <c r="I180" i="4"/>
  <c r="B180" i="4" s="1"/>
  <c r="C180" i="4"/>
  <c r="I179" i="4"/>
  <c r="B179" i="4" s="1"/>
  <c r="C179" i="4"/>
  <c r="I178" i="4"/>
  <c r="B178" i="4" s="1"/>
  <c r="C178" i="4"/>
  <c r="I177" i="4"/>
  <c r="B177" i="4" s="1"/>
  <c r="C177" i="4"/>
  <c r="I176" i="4"/>
  <c r="B176" i="4" s="1"/>
  <c r="C176" i="4"/>
  <c r="I175" i="4"/>
  <c r="B175" i="4" s="1"/>
  <c r="C175" i="4"/>
  <c r="I174" i="4"/>
  <c r="C174" i="4"/>
  <c r="B174" i="4"/>
  <c r="I173" i="4"/>
  <c r="C173" i="4"/>
  <c r="B173" i="4"/>
  <c r="I172" i="4"/>
  <c r="C172" i="4"/>
  <c r="B172" i="4"/>
  <c r="I171" i="4"/>
  <c r="B171" i="4" s="1"/>
  <c r="C171" i="4"/>
  <c r="I170" i="4"/>
  <c r="B170" i="4" s="1"/>
  <c r="C170" i="4"/>
  <c r="I169" i="4"/>
  <c r="C169" i="4"/>
  <c r="B169" i="4"/>
  <c r="I168" i="4"/>
  <c r="B168" i="4" s="1"/>
  <c r="C168" i="4"/>
  <c r="I167" i="4"/>
  <c r="B167" i="4" s="1"/>
  <c r="C167" i="4"/>
  <c r="I166" i="4"/>
  <c r="C166" i="4"/>
  <c r="B166" i="4"/>
  <c r="I165" i="4"/>
  <c r="C165" i="4"/>
  <c r="B165" i="4"/>
  <c r="I164" i="4"/>
  <c r="B164" i="4" s="1"/>
  <c r="C164" i="4"/>
  <c r="I163" i="4"/>
  <c r="B163" i="4" s="1"/>
  <c r="C163" i="4"/>
  <c r="I162" i="4"/>
  <c r="B162" i="4" s="1"/>
  <c r="C162" i="4"/>
  <c r="I161" i="4"/>
  <c r="B161" i="4" s="1"/>
  <c r="C161" i="4"/>
  <c r="I160" i="4"/>
  <c r="B160" i="4" s="1"/>
  <c r="C160" i="4"/>
  <c r="I159" i="4"/>
  <c r="B159" i="4" s="1"/>
  <c r="C159" i="4"/>
  <c r="I158" i="4"/>
  <c r="C158" i="4"/>
  <c r="B158" i="4"/>
  <c r="I157" i="4"/>
  <c r="C157" i="4"/>
  <c r="B157" i="4"/>
  <c r="I156" i="4"/>
  <c r="C156" i="4"/>
  <c r="B156" i="4"/>
  <c r="I155" i="4"/>
  <c r="B155" i="4" s="1"/>
  <c r="C155" i="4"/>
  <c r="I154" i="4"/>
  <c r="B154" i="4" s="1"/>
  <c r="C154" i="4"/>
  <c r="I153" i="4"/>
  <c r="C153" i="4"/>
  <c r="B153" i="4"/>
  <c r="I152" i="4"/>
  <c r="B152" i="4" s="1"/>
  <c r="C152" i="4"/>
  <c r="I151" i="4"/>
  <c r="B151" i="4" s="1"/>
  <c r="C151" i="4"/>
  <c r="I150" i="4"/>
  <c r="C150" i="4"/>
  <c r="B150" i="4"/>
  <c r="I149" i="4"/>
  <c r="C149" i="4"/>
  <c r="B149" i="4"/>
  <c r="I148" i="4"/>
  <c r="B148" i="4" s="1"/>
  <c r="C148" i="4"/>
  <c r="I147" i="4"/>
  <c r="B147" i="4" s="1"/>
  <c r="C147" i="4"/>
  <c r="I146" i="4"/>
  <c r="B146" i="4" s="1"/>
  <c r="C146" i="4"/>
  <c r="I145" i="4"/>
  <c r="B145" i="4" s="1"/>
  <c r="C145" i="4"/>
  <c r="I144" i="4"/>
  <c r="B144" i="4" s="1"/>
  <c r="C144" i="4"/>
  <c r="I143" i="4"/>
  <c r="B143" i="4" s="1"/>
  <c r="C143" i="4"/>
  <c r="I142" i="4"/>
  <c r="C142" i="4"/>
  <c r="B142" i="4"/>
  <c r="I141" i="4"/>
  <c r="C141" i="4"/>
  <c r="B141" i="4"/>
  <c r="I140" i="4"/>
  <c r="C140" i="4"/>
  <c r="B140" i="4"/>
  <c r="I139" i="4"/>
  <c r="B139" i="4" s="1"/>
  <c r="C139" i="4"/>
  <c r="I138" i="4"/>
  <c r="B138" i="4" s="1"/>
  <c r="C138" i="4"/>
  <c r="I137" i="4"/>
  <c r="C137" i="4"/>
  <c r="B137" i="4"/>
  <c r="I136" i="4"/>
  <c r="B136" i="4" s="1"/>
  <c r="C136" i="4"/>
  <c r="I135" i="4"/>
  <c r="B135" i="4" s="1"/>
  <c r="C135" i="4"/>
  <c r="I134" i="4"/>
  <c r="C134" i="4"/>
  <c r="B134" i="4"/>
  <c r="I133" i="4"/>
  <c r="C133" i="4"/>
  <c r="B133" i="4"/>
  <c r="I132" i="4"/>
  <c r="B132" i="4" s="1"/>
  <c r="C132" i="4"/>
  <c r="I131" i="4"/>
  <c r="B131" i="4" s="1"/>
  <c r="C131" i="4"/>
  <c r="I130" i="4"/>
  <c r="B130" i="4" s="1"/>
  <c r="C130" i="4"/>
  <c r="I129" i="4"/>
  <c r="B129" i="4" s="1"/>
  <c r="C129" i="4"/>
  <c r="I128" i="4"/>
  <c r="B128" i="4" s="1"/>
  <c r="C128" i="4"/>
  <c r="I127" i="4"/>
  <c r="B127" i="4" s="1"/>
  <c r="C127" i="4"/>
  <c r="I126" i="4"/>
  <c r="C126" i="4"/>
  <c r="B126" i="4"/>
  <c r="I125" i="4"/>
  <c r="C125" i="4"/>
  <c r="B125" i="4"/>
  <c r="I124" i="4"/>
  <c r="C124" i="4"/>
  <c r="B124" i="4"/>
  <c r="I123" i="4"/>
  <c r="B123" i="4" s="1"/>
  <c r="C123" i="4"/>
  <c r="I122" i="4"/>
  <c r="B122" i="4" s="1"/>
  <c r="C122" i="4"/>
  <c r="I121" i="4"/>
  <c r="C121" i="4"/>
  <c r="B121" i="4"/>
  <c r="I120" i="4"/>
  <c r="B120" i="4" s="1"/>
  <c r="C120" i="4"/>
  <c r="I119" i="4"/>
  <c r="B119" i="4" s="1"/>
  <c r="C119" i="4"/>
  <c r="I118" i="4"/>
  <c r="C118" i="4"/>
  <c r="B118" i="4"/>
  <c r="I117" i="4"/>
  <c r="C117" i="4"/>
  <c r="B117" i="4"/>
  <c r="I116" i="4"/>
  <c r="B116" i="4" s="1"/>
  <c r="C116" i="4"/>
  <c r="I115" i="4"/>
  <c r="B115" i="4" s="1"/>
  <c r="C115" i="4"/>
  <c r="I114" i="4"/>
  <c r="C114" i="4"/>
  <c r="B114" i="4"/>
  <c r="I113" i="4"/>
  <c r="B113" i="4" s="1"/>
  <c r="C113" i="4"/>
  <c r="I112" i="4"/>
  <c r="B112" i="4" s="1"/>
  <c r="C112" i="4"/>
  <c r="I111" i="4"/>
  <c r="B111" i="4" s="1"/>
  <c r="C111" i="4"/>
  <c r="I110" i="4"/>
  <c r="B110" i="4" s="1"/>
  <c r="C110" i="4"/>
  <c r="I109" i="4"/>
  <c r="C109" i="4"/>
  <c r="B109" i="4"/>
  <c r="I108" i="4"/>
  <c r="C108" i="4"/>
  <c r="B108" i="4"/>
  <c r="I107" i="4"/>
  <c r="B107" i="4" s="1"/>
  <c r="C107" i="4"/>
  <c r="I106" i="4"/>
  <c r="C106" i="4"/>
  <c r="B106" i="4"/>
  <c r="I105" i="4"/>
  <c r="C105" i="4"/>
  <c r="B105" i="4"/>
  <c r="I104" i="4"/>
  <c r="B104" i="4" s="1"/>
  <c r="C104" i="4"/>
  <c r="I103" i="4"/>
  <c r="B103" i="4" s="1"/>
  <c r="C103" i="4"/>
  <c r="I102" i="4"/>
  <c r="C102" i="4"/>
  <c r="B102" i="4"/>
  <c r="I101" i="4"/>
  <c r="B101" i="4" s="1"/>
  <c r="C101" i="4"/>
  <c r="I100" i="4"/>
  <c r="C100" i="4"/>
  <c r="B100" i="4"/>
  <c r="I99" i="4"/>
  <c r="B99" i="4" s="1"/>
  <c r="C99" i="4"/>
  <c r="I98" i="4"/>
  <c r="B98" i="4" s="1"/>
  <c r="C98" i="4"/>
  <c r="I97" i="4"/>
  <c r="C97" i="4"/>
  <c r="B97" i="4"/>
  <c r="I96" i="4"/>
  <c r="B96" i="4" s="1"/>
  <c r="C96" i="4"/>
  <c r="I95" i="4"/>
  <c r="B95" i="4" s="1"/>
  <c r="C95" i="4"/>
  <c r="I94" i="4"/>
  <c r="C94" i="4"/>
  <c r="B94" i="4"/>
  <c r="I93" i="4"/>
  <c r="C93" i="4"/>
  <c r="B93" i="4"/>
  <c r="I92" i="4"/>
  <c r="B92" i="4" s="1"/>
  <c r="C92" i="4"/>
  <c r="I91" i="4"/>
  <c r="B91" i="4" s="1"/>
  <c r="C91" i="4"/>
  <c r="I90" i="4"/>
  <c r="C90" i="4"/>
  <c r="B90" i="4"/>
  <c r="I89" i="4"/>
  <c r="B89" i="4" s="1"/>
  <c r="C89" i="4"/>
  <c r="I88" i="4"/>
  <c r="B88" i="4" s="1"/>
  <c r="C88" i="4"/>
  <c r="I87" i="4"/>
  <c r="B87" i="4" s="1"/>
  <c r="C87" i="4"/>
  <c r="I86" i="4"/>
  <c r="C86" i="4"/>
  <c r="B86" i="4"/>
  <c r="I85" i="4"/>
  <c r="C85" i="4"/>
  <c r="B85" i="4"/>
  <c r="I84" i="4"/>
  <c r="C84" i="4"/>
  <c r="B84" i="4"/>
  <c r="I83" i="4"/>
  <c r="B83" i="4" s="1"/>
  <c r="C83" i="4"/>
  <c r="I82" i="4"/>
  <c r="C82" i="4"/>
  <c r="B82" i="4"/>
  <c r="I81" i="4"/>
  <c r="C81" i="4"/>
  <c r="B81" i="4"/>
  <c r="I80" i="4"/>
  <c r="B80" i="4" s="1"/>
  <c r="C80" i="4"/>
  <c r="I79" i="4"/>
  <c r="B79" i="4" s="1"/>
  <c r="C79" i="4"/>
  <c r="I78" i="4"/>
  <c r="C78" i="4"/>
  <c r="B78" i="4"/>
  <c r="I77" i="4"/>
  <c r="C77" i="4"/>
  <c r="B77" i="4"/>
  <c r="I76" i="4"/>
  <c r="C76" i="4"/>
  <c r="B76" i="4"/>
  <c r="I75" i="4"/>
  <c r="B75" i="4" s="1"/>
  <c r="C75" i="4"/>
  <c r="I74" i="4"/>
  <c r="C74" i="4"/>
  <c r="B74" i="4"/>
  <c r="I73" i="4"/>
  <c r="C73" i="4"/>
  <c r="B73" i="4"/>
  <c r="I72" i="4"/>
  <c r="B72" i="4" s="1"/>
  <c r="C72" i="4"/>
  <c r="I71" i="4"/>
  <c r="B71" i="4" s="1"/>
  <c r="C71" i="4"/>
  <c r="I70" i="4"/>
  <c r="B70" i="4" s="1"/>
  <c r="C70" i="4"/>
  <c r="I69" i="4"/>
  <c r="C69" i="4"/>
  <c r="B69" i="4"/>
  <c r="I68" i="4"/>
  <c r="C68" i="4"/>
  <c r="B68" i="4"/>
  <c r="I67" i="4"/>
  <c r="B67" i="4" s="1"/>
  <c r="C67" i="4"/>
  <c r="I66" i="4"/>
  <c r="C66" i="4"/>
  <c r="B66" i="4"/>
  <c r="I65" i="4"/>
  <c r="C65" i="4"/>
  <c r="B65" i="4"/>
  <c r="I64" i="4"/>
  <c r="B64" i="4" s="1"/>
  <c r="C64" i="4"/>
  <c r="I63" i="4"/>
  <c r="B63" i="4" s="1"/>
  <c r="C63" i="4"/>
  <c r="I62" i="4"/>
  <c r="C62" i="4"/>
  <c r="B62" i="4"/>
  <c r="I61" i="4"/>
  <c r="B61" i="4" s="1"/>
  <c r="C61" i="4"/>
  <c r="I60" i="4"/>
  <c r="C60" i="4"/>
  <c r="B60" i="4"/>
  <c r="I59" i="4"/>
  <c r="B59" i="4" s="1"/>
  <c r="C59" i="4"/>
  <c r="I58" i="4"/>
  <c r="B58" i="4" s="1"/>
  <c r="C58" i="4"/>
  <c r="I57" i="4"/>
  <c r="C57" i="4"/>
  <c r="B57" i="4"/>
  <c r="I56" i="4"/>
  <c r="B56" i="4" s="1"/>
  <c r="C56" i="4"/>
  <c r="I55" i="4"/>
  <c r="B55" i="4" s="1"/>
  <c r="C55" i="4"/>
  <c r="I54" i="4"/>
  <c r="C54" i="4"/>
  <c r="B54" i="4"/>
  <c r="I53" i="4"/>
  <c r="C53" i="4"/>
  <c r="B53" i="4"/>
  <c r="I52" i="4"/>
  <c r="B52" i="4" s="1"/>
  <c r="C52" i="4"/>
  <c r="I51" i="4"/>
  <c r="B51" i="4" s="1"/>
  <c r="C51" i="4"/>
  <c r="I50" i="4"/>
  <c r="C50" i="4"/>
  <c r="B50" i="4"/>
  <c r="I49" i="4"/>
  <c r="B49" i="4" s="1"/>
  <c r="C49" i="4"/>
  <c r="I48" i="4"/>
  <c r="B48" i="4" s="1"/>
  <c r="C48" i="4"/>
  <c r="I47" i="4"/>
  <c r="B47" i="4" s="1"/>
  <c r="C47" i="4"/>
  <c r="I46" i="4"/>
  <c r="B46" i="4" s="1"/>
  <c r="C46" i="4"/>
  <c r="I45" i="4"/>
  <c r="C45" i="4"/>
  <c r="B45" i="4"/>
  <c r="I44" i="4"/>
  <c r="C44" i="4"/>
  <c r="B44" i="4"/>
  <c r="I43" i="4"/>
  <c r="B43" i="4" s="1"/>
  <c r="C43" i="4"/>
  <c r="I42" i="4"/>
  <c r="C42" i="4"/>
  <c r="B42" i="4"/>
  <c r="I41" i="4"/>
  <c r="C41" i="4"/>
  <c r="B41" i="4"/>
  <c r="I40" i="4"/>
  <c r="B40" i="4" s="1"/>
  <c r="C40" i="4"/>
  <c r="I39" i="4"/>
  <c r="B39" i="4" s="1"/>
  <c r="C39" i="4"/>
  <c r="I38" i="4"/>
  <c r="C38" i="4"/>
  <c r="B38" i="4"/>
  <c r="I37" i="4"/>
  <c r="B37" i="4" s="1"/>
  <c r="C37" i="4"/>
  <c r="I36" i="4"/>
  <c r="C36" i="4"/>
  <c r="B36" i="4"/>
  <c r="I35" i="4"/>
  <c r="B35" i="4" s="1"/>
  <c r="C35" i="4"/>
  <c r="I34" i="4"/>
  <c r="B34" i="4" s="1"/>
  <c r="C34" i="4"/>
  <c r="I33" i="4"/>
  <c r="C33" i="4"/>
  <c r="B33" i="4"/>
  <c r="I32" i="4"/>
  <c r="B32" i="4" s="1"/>
  <c r="C32" i="4"/>
  <c r="I31" i="4"/>
  <c r="B31" i="4" s="1"/>
  <c r="C31" i="4"/>
  <c r="I30" i="4"/>
  <c r="C30" i="4"/>
  <c r="B30" i="4"/>
  <c r="I29" i="4"/>
  <c r="C29" i="4"/>
  <c r="B29" i="4"/>
  <c r="I28" i="4"/>
  <c r="B28" i="4" s="1"/>
  <c r="C28" i="4"/>
  <c r="I27" i="4"/>
  <c r="B27" i="4" s="1"/>
  <c r="C27" i="4"/>
  <c r="I26" i="4"/>
  <c r="C26" i="4"/>
  <c r="B26" i="4"/>
  <c r="I25" i="4"/>
  <c r="B25" i="4" s="1"/>
  <c r="C25" i="4"/>
  <c r="I24" i="4"/>
  <c r="B24" i="4" s="1"/>
  <c r="C24" i="4"/>
  <c r="I23" i="4"/>
  <c r="B23" i="4" s="1"/>
  <c r="C23" i="4"/>
  <c r="I22" i="4"/>
  <c r="C22" i="4"/>
  <c r="B22" i="4"/>
  <c r="I21" i="4"/>
  <c r="C21" i="4"/>
  <c r="B21" i="4"/>
  <c r="I20" i="4"/>
  <c r="C20" i="4"/>
  <c r="B20" i="4"/>
  <c r="I19" i="4"/>
  <c r="B19" i="4" s="1"/>
  <c r="C19" i="4"/>
  <c r="I18" i="4"/>
  <c r="C18" i="4"/>
  <c r="B18" i="4"/>
  <c r="I17" i="4"/>
  <c r="C17" i="4"/>
  <c r="B17" i="4"/>
  <c r="I16" i="4"/>
  <c r="B16" i="4" s="1"/>
  <c r="C16" i="4"/>
  <c r="I15" i="4"/>
  <c r="B15" i="4" s="1"/>
  <c r="C15" i="4"/>
  <c r="I14" i="4"/>
  <c r="C14" i="4"/>
  <c r="B14" i="4"/>
  <c r="I13" i="4"/>
  <c r="C13" i="4"/>
  <c r="B13" i="4"/>
  <c r="I12" i="4"/>
  <c r="C12" i="4"/>
  <c r="B12" i="4"/>
  <c r="I11" i="4"/>
  <c r="B11" i="4" s="1"/>
  <c r="C11" i="4"/>
  <c r="I10" i="4"/>
  <c r="C10" i="4"/>
  <c r="B10" i="4"/>
  <c r="I9" i="4"/>
  <c r="C9" i="4"/>
  <c r="B9" i="4"/>
  <c r="I8" i="4"/>
  <c r="B8" i="4" s="1"/>
  <c r="C8" i="4"/>
  <c r="I7" i="4"/>
  <c r="B7" i="4" s="1"/>
  <c r="C7" i="4"/>
  <c r="I6" i="4"/>
  <c r="B6" i="4" s="1"/>
  <c r="C6" i="4"/>
  <c r="I5" i="4"/>
  <c r="C5" i="4"/>
  <c r="B5" i="4"/>
  <c r="I4" i="4"/>
  <c r="C4" i="4"/>
  <c r="B4" i="4"/>
  <c r="I3" i="4"/>
  <c r="B3" i="4" s="1"/>
  <c r="C3" i="4"/>
  <c r="O185" i="3"/>
  <c r="N185" i="3"/>
  <c r="B185" i="3" s="1"/>
  <c r="C185" i="3"/>
  <c r="O184" i="3"/>
  <c r="N184" i="3"/>
  <c r="C184" i="3"/>
  <c r="B184" i="3"/>
  <c r="O183" i="3"/>
  <c r="N183" i="3"/>
  <c r="B183" i="3" s="1"/>
  <c r="C183" i="3"/>
  <c r="O182" i="3"/>
  <c r="N182" i="3"/>
  <c r="C182" i="3"/>
  <c r="B182" i="3"/>
  <c r="O181" i="3"/>
  <c r="N181" i="3"/>
  <c r="B181" i="3" s="1"/>
  <c r="C181" i="3"/>
  <c r="O180" i="3"/>
  <c r="N180" i="3"/>
  <c r="C180" i="3"/>
  <c r="B180" i="3"/>
  <c r="O179" i="3"/>
  <c r="N179" i="3"/>
  <c r="B179" i="3" s="1"/>
  <c r="C179" i="3"/>
  <c r="O178" i="3"/>
  <c r="N178" i="3"/>
  <c r="C178" i="3"/>
  <c r="B178" i="3"/>
  <c r="O177" i="3"/>
  <c r="N177" i="3"/>
  <c r="C177" i="3"/>
  <c r="O176" i="3"/>
  <c r="N176" i="3"/>
  <c r="C176" i="3"/>
  <c r="B176" i="3"/>
  <c r="O175" i="3"/>
  <c r="N175" i="3"/>
  <c r="C175" i="3"/>
  <c r="O174" i="3"/>
  <c r="N174" i="3"/>
  <c r="C174" i="3"/>
  <c r="B174" i="3"/>
  <c r="O173" i="3"/>
  <c r="N173" i="3"/>
  <c r="C173" i="3"/>
  <c r="O172" i="3"/>
  <c r="N172" i="3"/>
  <c r="C172" i="3"/>
  <c r="B172" i="3"/>
  <c r="O171" i="3"/>
  <c r="N171" i="3"/>
  <c r="C171" i="3"/>
  <c r="O170" i="3"/>
  <c r="N170" i="3"/>
  <c r="C170" i="3"/>
  <c r="B170" i="3"/>
  <c r="O169" i="3"/>
  <c r="N169" i="3"/>
  <c r="B169" i="3" s="1"/>
  <c r="C169" i="3"/>
  <c r="O168" i="3"/>
  <c r="N168" i="3"/>
  <c r="C168" i="3"/>
  <c r="B168" i="3"/>
  <c r="O167" i="3"/>
  <c r="N167" i="3"/>
  <c r="B167" i="3" s="1"/>
  <c r="C167" i="3"/>
  <c r="O166" i="3"/>
  <c r="N166" i="3"/>
  <c r="B166" i="3" s="1"/>
  <c r="C166" i="3"/>
  <c r="O165" i="3"/>
  <c r="N165" i="3"/>
  <c r="B165" i="3" s="1"/>
  <c r="C165" i="3"/>
  <c r="O164" i="3"/>
  <c r="N164" i="3"/>
  <c r="B164" i="3" s="1"/>
  <c r="C164" i="3"/>
  <c r="O163" i="3"/>
  <c r="N163" i="3"/>
  <c r="B163" i="3" s="1"/>
  <c r="C163" i="3"/>
  <c r="O162" i="3"/>
  <c r="N162" i="3"/>
  <c r="B162" i="3" s="1"/>
  <c r="C162" i="3"/>
  <c r="O161" i="3"/>
  <c r="N161" i="3"/>
  <c r="C161" i="3"/>
  <c r="O160" i="3"/>
  <c r="N160" i="3"/>
  <c r="C160" i="3"/>
  <c r="B160" i="3"/>
  <c r="O159" i="3"/>
  <c r="N159" i="3"/>
  <c r="C159" i="3"/>
  <c r="O158" i="3"/>
  <c r="N158" i="3"/>
  <c r="C158" i="3"/>
  <c r="B158" i="3"/>
  <c r="O157" i="3"/>
  <c r="N157" i="3"/>
  <c r="C157" i="3"/>
  <c r="O156" i="3"/>
  <c r="N156" i="3"/>
  <c r="C156" i="3"/>
  <c r="B156" i="3"/>
  <c r="O155" i="3"/>
  <c r="N155" i="3"/>
  <c r="C155" i="3"/>
  <c r="O154" i="3"/>
  <c r="N154" i="3"/>
  <c r="C154" i="3"/>
  <c r="B154" i="3"/>
  <c r="O153" i="3"/>
  <c r="N153" i="3"/>
  <c r="B153" i="3" s="1"/>
  <c r="C153" i="3"/>
  <c r="O152" i="3"/>
  <c r="N152" i="3"/>
  <c r="B152" i="3" s="1"/>
  <c r="C152" i="3"/>
  <c r="O151" i="3"/>
  <c r="N151" i="3"/>
  <c r="B151" i="3" s="1"/>
  <c r="C151" i="3"/>
  <c r="O150" i="3"/>
  <c r="N150" i="3"/>
  <c r="B150" i="3" s="1"/>
  <c r="C150" i="3"/>
  <c r="O149" i="3"/>
  <c r="N149" i="3"/>
  <c r="B149" i="3" s="1"/>
  <c r="C149" i="3"/>
  <c r="O148" i="3"/>
  <c r="N148" i="3"/>
  <c r="B148" i="3" s="1"/>
  <c r="C148" i="3"/>
  <c r="O147" i="3"/>
  <c r="N147" i="3"/>
  <c r="B147" i="3" s="1"/>
  <c r="C147" i="3"/>
  <c r="O146" i="3"/>
  <c r="N146" i="3"/>
  <c r="B146" i="3" s="1"/>
  <c r="C146" i="3"/>
  <c r="O145" i="3"/>
  <c r="N145" i="3"/>
  <c r="C145" i="3"/>
  <c r="O144" i="3"/>
  <c r="N144" i="3"/>
  <c r="C144" i="3"/>
  <c r="B144" i="3"/>
  <c r="O143" i="3"/>
  <c r="N143" i="3"/>
  <c r="C143" i="3"/>
  <c r="O142" i="3"/>
  <c r="N142" i="3"/>
  <c r="C142" i="3"/>
  <c r="B142" i="3"/>
  <c r="O141" i="3"/>
  <c r="N141" i="3"/>
  <c r="C141" i="3"/>
  <c r="O140" i="3"/>
  <c r="N140" i="3"/>
  <c r="C140" i="3"/>
  <c r="B140" i="3"/>
  <c r="O139" i="3"/>
  <c r="N139" i="3"/>
  <c r="C139" i="3"/>
  <c r="O138" i="3"/>
  <c r="N138" i="3"/>
  <c r="C138" i="3"/>
  <c r="B138" i="3"/>
  <c r="O137" i="3"/>
  <c r="N137" i="3"/>
  <c r="B137" i="3" s="1"/>
  <c r="C137" i="3"/>
  <c r="O136" i="3"/>
  <c r="N136" i="3"/>
  <c r="B136" i="3" s="1"/>
  <c r="C136" i="3"/>
  <c r="O135" i="3"/>
  <c r="N135" i="3"/>
  <c r="B135" i="3" s="1"/>
  <c r="C135" i="3"/>
  <c r="O134" i="3"/>
  <c r="N134" i="3"/>
  <c r="B134" i="3" s="1"/>
  <c r="C134" i="3"/>
  <c r="O133" i="3"/>
  <c r="N133" i="3"/>
  <c r="B133" i="3" s="1"/>
  <c r="C133" i="3"/>
  <c r="O132" i="3"/>
  <c r="N132" i="3"/>
  <c r="B132" i="3" s="1"/>
  <c r="C132" i="3"/>
  <c r="O131" i="3"/>
  <c r="N131" i="3"/>
  <c r="B131" i="3" s="1"/>
  <c r="C131" i="3"/>
  <c r="O130" i="3"/>
  <c r="N130" i="3"/>
  <c r="B130" i="3" s="1"/>
  <c r="C130" i="3"/>
  <c r="O129" i="3"/>
  <c r="N129" i="3"/>
  <c r="C129" i="3"/>
  <c r="O128" i="3"/>
  <c r="N128" i="3"/>
  <c r="C128" i="3"/>
  <c r="B128" i="3"/>
  <c r="O127" i="3"/>
  <c r="N127" i="3"/>
  <c r="C127" i="3"/>
  <c r="O126" i="3"/>
  <c r="N126" i="3"/>
  <c r="C126" i="3"/>
  <c r="B126" i="3"/>
  <c r="O125" i="3"/>
  <c r="N125" i="3"/>
  <c r="C125" i="3"/>
  <c r="O124" i="3"/>
  <c r="N124" i="3"/>
  <c r="C124" i="3"/>
  <c r="B124" i="3"/>
  <c r="O123" i="3"/>
  <c r="N123" i="3"/>
  <c r="C123" i="3"/>
  <c r="O122" i="3"/>
  <c r="N122" i="3"/>
  <c r="C122" i="3"/>
  <c r="B122" i="3"/>
  <c r="O121" i="3"/>
  <c r="N121" i="3"/>
  <c r="B121" i="3" s="1"/>
  <c r="C121" i="3"/>
  <c r="O120" i="3"/>
  <c r="N120" i="3"/>
  <c r="B120" i="3" s="1"/>
  <c r="C120" i="3"/>
  <c r="O119" i="3"/>
  <c r="N119" i="3"/>
  <c r="B119" i="3" s="1"/>
  <c r="C119" i="3"/>
  <c r="O118" i="3"/>
  <c r="N118" i="3"/>
  <c r="B118" i="3" s="1"/>
  <c r="C118" i="3"/>
  <c r="O117" i="3"/>
  <c r="N117" i="3"/>
  <c r="B117" i="3" s="1"/>
  <c r="C117" i="3"/>
  <c r="O116" i="3"/>
  <c r="N116" i="3"/>
  <c r="B116" i="3" s="1"/>
  <c r="C116" i="3"/>
  <c r="O115" i="3"/>
  <c r="N115" i="3"/>
  <c r="B115" i="3" s="1"/>
  <c r="C115" i="3"/>
  <c r="O114" i="3"/>
  <c r="N114" i="3"/>
  <c r="B114" i="3" s="1"/>
  <c r="C114" i="3"/>
  <c r="O113" i="3"/>
  <c r="N113" i="3"/>
  <c r="C113" i="3"/>
  <c r="O112" i="3"/>
  <c r="N112" i="3"/>
  <c r="C112" i="3"/>
  <c r="B112" i="3"/>
  <c r="O111" i="3"/>
  <c r="N111" i="3"/>
  <c r="C111" i="3"/>
  <c r="O110" i="3"/>
  <c r="N110" i="3"/>
  <c r="C110" i="3"/>
  <c r="B110" i="3"/>
  <c r="O109" i="3"/>
  <c r="N109" i="3"/>
  <c r="C109" i="3"/>
  <c r="O108" i="3"/>
  <c r="N108" i="3"/>
  <c r="C108" i="3"/>
  <c r="B108" i="3"/>
  <c r="O107" i="3"/>
  <c r="N107" i="3"/>
  <c r="C107" i="3"/>
  <c r="O106" i="3"/>
  <c r="N106" i="3"/>
  <c r="C106" i="3"/>
  <c r="B106" i="3"/>
  <c r="O105" i="3"/>
  <c r="N105" i="3"/>
  <c r="B105" i="3" s="1"/>
  <c r="C105" i="3"/>
  <c r="O104" i="3"/>
  <c r="N104" i="3"/>
  <c r="B104" i="3" s="1"/>
  <c r="C104" i="3"/>
  <c r="O103" i="3"/>
  <c r="N103" i="3"/>
  <c r="B103" i="3" s="1"/>
  <c r="C103" i="3"/>
  <c r="O102" i="3"/>
  <c r="N102" i="3"/>
  <c r="B102" i="3" s="1"/>
  <c r="C102" i="3"/>
  <c r="O101" i="3"/>
  <c r="N101" i="3"/>
  <c r="B101" i="3" s="1"/>
  <c r="C101" i="3"/>
  <c r="O100" i="3"/>
  <c r="N100" i="3"/>
  <c r="B100" i="3" s="1"/>
  <c r="C100" i="3"/>
  <c r="O99" i="3"/>
  <c r="N99" i="3"/>
  <c r="B99" i="3" s="1"/>
  <c r="C99" i="3"/>
  <c r="O98" i="3"/>
  <c r="N98" i="3"/>
  <c r="B98" i="3" s="1"/>
  <c r="C98" i="3"/>
  <c r="O97" i="3"/>
  <c r="N97" i="3"/>
  <c r="C97" i="3"/>
  <c r="O96" i="3"/>
  <c r="N96" i="3"/>
  <c r="C96" i="3"/>
  <c r="B96" i="3"/>
  <c r="O95" i="3"/>
  <c r="N95" i="3"/>
  <c r="C95" i="3"/>
  <c r="O94" i="3"/>
  <c r="N94" i="3"/>
  <c r="C94" i="3"/>
  <c r="B94" i="3"/>
  <c r="O93" i="3"/>
  <c r="N93" i="3"/>
  <c r="C93" i="3"/>
  <c r="O92" i="3"/>
  <c r="N92" i="3"/>
  <c r="C92" i="3"/>
  <c r="B92" i="3"/>
  <c r="O91" i="3"/>
  <c r="N91" i="3"/>
  <c r="C91" i="3"/>
  <c r="O90" i="3"/>
  <c r="N90" i="3"/>
  <c r="C90" i="3"/>
  <c r="B90" i="3"/>
  <c r="O89" i="3"/>
  <c r="N89" i="3"/>
  <c r="B89" i="3" s="1"/>
  <c r="C89" i="3"/>
  <c r="O88" i="3"/>
  <c r="N88" i="3"/>
  <c r="B88" i="3" s="1"/>
  <c r="C88" i="3"/>
  <c r="O87" i="3"/>
  <c r="N87" i="3"/>
  <c r="B87" i="3" s="1"/>
  <c r="C87" i="3"/>
  <c r="O86" i="3"/>
  <c r="N86" i="3"/>
  <c r="B86" i="3" s="1"/>
  <c r="C86" i="3"/>
  <c r="O85" i="3"/>
  <c r="N85" i="3"/>
  <c r="B85" i="3" s="1"/>
  <c r="C85" i="3"/>
  <c r="O84" i="3"/>
  <c r="N84" i="3"/>
  <c r="B84" i="3" s="1"/>
  <c r="C84" i="3"/>
  <c r="O83" i="3"/>
  <c r="N83" i="3"/>
  <c r="B83" i="3" s="1"/>
  <c r="C83" i="3"/>
  <c r="O82" i="3"/>
  <c r="N82" i="3"/>
  <c r="B82" i="3" s="1"/>
  <c r="C82" i="3"/>
  <c r="O81" i="3"/>
  <c r="N81" i="3"/>
  <c r="C81" i="3"/>
  <c r="O80" i="3"/>
  <c r="N80" i="3"/>
  <c r="C80" i="3"/>
  <c r="B80" i="3"/>
  <c r="O79" i="3"/>
  <c r="N79" i="3"/>
  <c r="C79" i="3"/>
  <c r="O78" i="3"/>
  <c r="N78" i="3"/>
  <c r="C78" i="3"/>
  <c r="B78" i="3"/>
  <c r="O77" i="3"/>
  <c r="N77" i="3"/>
  <c r="C77" i="3"/>
  <c r="O76" i="3"/>
  <c r="N76" i="3"/>
  <c r="C76" i="3"/>
  <c r="B76" i="3"/>
  <c r="O75" i="3"/>
  <c r="N75" i="3"/>
  <c r="C75" i="3"/>
  <c r="O74" i="3"/>
  <c r="N74" i="3"/>
  <c r="C74" i="3"/>
  <c r="B74" i="3"/>
  <c r="O73" i="3"/>
  <c r="N73" i="3"/>
  <c r="B73" i="3" s="1"/>
  <c r="C73" i="3"/>
  <c r="O72" i="3"/>
  <c r="N72" i="3"/>
  <c r="B72" i="3" s="1"/>
  <c r="C72" i="3"/>
  <c r="O71" i="3"/>
  <c r="N71" i="3"/>
  <c r="B71" i="3" s="1"/>
  <c r="C71" i="3"/>
  <c r="O70" i="3"/>
  <c r="N70" i="3"/>
  <c r="B70" i="3" s="1"/>
  <c r="C70" i="3"/>
  <c r="O69" i="3"/>
  <c r="N69" i="3"/>
  <c r="B69" i="3" s="1"/>
  <c r="C69" i="3"/>
  <c r="O68" i="3"/>
  <c r="N68" i="3"/>
  <c r="B68" i="3" s="1"/>
  <c r="C68" i="3"/>
  <c r="O67" i="3"/>
  <c r="N67" i="3"/>
  <c r="B67" i="3" s="1"/>
  <c r="C67" i="3"/>
  <c r="O66" i="3"/>
  <c r="N66" i="3"/>
  <c r="B66" i="3" s="1"/>
  <c r="C66" i="3"/>
  <c r="O65" i="3"/>
  <c r="N65" i="3"/>
  <c r="C65" i="3"/>
  <c r="O64" i="3"/>
  <c r="N64" i="3"/>
  <c r="C64" i="3"/>
  <c r="B64" i="3"/>
  <c r="O63" i="3"/>
  <c r="N63" i="3"/>
  <c r="C63" i="3"/>
  <c r="O62" i="3"/>
  <c r="N62" i="3"/>
  <c r="C62" i="3"/>
  <c r="B62" i="3"/>
  <c r="O61" i="3"/>
  <c r="N61" i="3"/>
  <c r="C61" i="3"/>
  <c r="O60" i="3"/>
  <c r="N60" i="3"/>
  <c r="C60" i="3"/>
  <c r="B60" i="3"/>
  <c r="O59" i="3"/>
  <c r="N59" i="3"/>
  <c r="C59" i="3"/>
  <c r="O58" i="3"/>
  <c r="N58" i="3"/>
  <c r="C58" i="3"/>
  <c r="B58" i="3"/>
  <c r="O57" i="3"/>
  <c r="N57" i="3"/>
  <c r="B57" i="3" s="1"/>
  <c r="C57" i="3"/>
  <c r="O56" i="3"/>
  <c r="N56" i="3"/>
  <c r="B56" i="3" s="1"/>
  <c r="C56" i="3"/>
  <c r="O55" i="3"/>
  <c r="N55" i="3"/>
  <c r="B55" i="3" s="1"/>
  <c r="C55" i="3"/>
  <c r="O54" i="3"/>
  <c r="N54" i="3"/>
  <c r="B54" i="3" s="1"/>
  <c r="C54" i="3"/>
  <c r="O53" i="3"/>
  <c r="N53" i="3"/>
  <c r="B53" i="3" s="1"/>
  <c r="C53" i="3"/>
  <c r="O52" i="3"/>
  <c r="N52" i="3"/>
  <c r="B52" i="3" s="1"/>
  <c r="C52" i="3"/>
  <c r="O51" i="3"/>
  <c r="N51" i="3"/>
  <c r="B51" i="3" s="1"/>
  <c r="C51" i="3"/>
  <c r="O50" i="3"/>
  <c r="N50" i="3"/>
  <c r="B50" i="3" s="1"/>
  <c r="C50" i="3"/>
  <c r="O49" i="3"/>
  <c r="N49" i="3"/>
  <c r="C49" i="3"/>
  <c r="O48" i="3"/>
  <c r="N48" i="3"/>
  <c r="C48" i="3"/>
  <c r="B48" i="3"/>
  <c r="O47" i="3"/>
  <c r="N47" i="3"/>
  <c r="C47" i="3"/>
  <c r="O46" i="3"/>
  <c r="N46" i="3"/>
  <c r="C46" i="3"/>
  <c r="B46" i="3"/>
  <c r="O45" i="3"/>
  <c r="N45" i="3"/>
  <c r="C45" i="3"/>
  <c r="O44" i="3"/>
  <c r="N44" i="3"/>
  <c r="C44" i="3"/>
  <c r="B44" i="3"/>
  <c r="O43" i="3"/>
  <c r="N43" i="3"/>
  <c r="C43" i="3"/>
  <c r="O42" i="3"/>
  <c r="N42" i="3"/>
  <c r="C42" i="3"/>
  <c r="B42" i="3"/>
  <c r="O41" i="3"/>
  <c r="N41" i="3"/>
  <c r="B41" i="3" s="1"/>
  <c r="C41" i="3"/>
  <c r="O40" i="3"/>
  <c r="N40" i="3"/>
  <c r="B40" i="3" s="1"/>
  <c r="C40" i="3"/>
  <c r="O39" i="3"/>
  <c r="N39" i="3"/>
  <c r="B39" i="3" s="1"/>
  <c r="C39" i="3"/>
  <c r="O38" i="3"/>
  <c r="N38" i="3"/>
  <c r="B38" i="3" s="1"/>
  <c r="C38" i="3"/>
  <c r="O37" i="3"/>
  <c r="N37" i="3"/>
  <c r="B37" i="3" s="1"/>
  <c r="C37" i="3"/>
  <c r="O36" i="3"/>
  <c r="N36" i="3"/>
  <c r="B36" i="3" s="1"/>
  <c r="C36" i="3"/>
  <c r="O35" i="3"/>
  <c r="N35" i="3"/>
  <c r="B35" i="3" s="1"/>
  <c r="C35" i="3"/>
  <c r="O34" i="3"/>
  <c r="N34" i="3"/>
  <c r="B34" i="3" s="1"/>
  <c r="C34" i="3"/>
  <c r="O33" i="3"/>
  <c r="N33" i="3"/>
  <c r="C33" i="3"/>
  <c r="O32" i="3"/>
  <c r="N32" i="3"/>
  <c r="C32" i="3"/>
  <c r="B32" i="3"/>
  <c r="O31" i="3"/>
  <c r="N31" i="3"/>
  <c r="C31" i="3"/>
  <c r="O30" i="3"/>
  <c r="N30" i="3"/>
  <c r="C30" i="3"/>
  <c r="B30" i="3"/>
  <c r="O29" i="3"/>
  <c r="N29" i="3"/>
  <c r="C29" i="3"/>
  <c r="O28" i="3"/>
  <c r="N28" i="3"/>
  <c r="C28" i="3"/>
  <c r="B28" i="3"/>
  <c r="O27" i="3"/>
  <c r="N27" i="3"/>
  <c r="C27" i="3"/>
  <c r="O26" i="3"/>
  <c r="N26" i="3"/>
  <c r="C26" i="3"/>
  <c r="B26" i="3"/>
  <c r="O25" i="3"/>
  <c r="N25" i="3"/>
  <c r="B25" i="3" s="1"/>
  <c r="C25" i="3"/>
  <c r="O24" i="3"/>
  <c r="N24" i="3"/>
  <c r="B24" i="3" s="1"/>
  <c r="C24" i="3"/>
  <c r="O23" i="3"/>
  <c r="N23" i="3"/>
  <c r="B23" i="3" s="1"/>
  <c r="C23" i="3"/>
  <c r="O22" i="3"/>
  <c r="N22" i="3"/>
  <c r="B22" i="3" s="1"/>
  <c r="C22" i="3"/>
  <c r="O21" i="3"/>
  <c r="N21" i="3"/>
  <c r="B21" i="3" s="1"/>
  <c r="C21" i="3"/>
  <c r="O20" i="3"/>
  <c r="N20" i="3"/>
  <c r="B20" i="3" s="1"/>
  <c r="C20" i="3"/>
  <c r="O19" i="3"/>
  <c r="N19" i="3"/>
  <c r="B19" i="3" s="1"/>
  <c r="C19" i="3"/>
  <c r="O18" i="3"/>
  <c r="N18" i="3"/>
  <c r="B18" i="3" s="1"/>
  <c r="C18" i="3"/>
  <c r="O17" i="3"/>
  <c r="N17" i="3"/>
  <c r="C17" i="3"/>
  <c r="B17" i="3"/>
  <c r="O16" i="3"/>
  <c r="N16" i="3"/>
  <c r="B16" i="3" s="1"/>
  <c r="C16" i="3"/>
  <c r="O15" i="3"/>
  <c r="N15" i="3"/>
  <c r="C15" i="3"/>
  <c r="B15" i="3"/>
  <c r="O14" i="3"/>
  <c r="N14" i="3"/>
  <c r="B14" i="3" s="1"/>
  <c r="C14" i="3"/>
  <c r="O13" i="3"/>
  <c r="N13" i="3"/>
  <c r="C13" i="3"/>
  <c r="B13" i="3"/>
  <c r="O12" i="3"/>
  <c r="N12" i="3"/>
  <c r="B12" i="3" s="1"/>
  <c r="C12" i="3"/>
  <c r="O11" i="3"/>
  <c r="N11" i="3"/>
  <c r="C11" i="3"/>
  <c r="B11" i="3"/>
  <c r="O10" i="3"/>
  <c r="N10" i="3"/>
  <c r="B10" i="3" s="1"/>
  <c r="C10" i="3"/>
  <c r="O9" i="3"/>
  <c r="N9" i="3"/>
  <c r="C9" i="3"/>
  <c r="B9" i="3"/>
  <c r="O8" i="3"/>
  <c r="N8" i="3"/>
  <c r="B8" i="3" s="1"/>
  <c r="C8" i="3"/>
  <c r="O7" i="3"/>
  <c r="N7" i="3"/>
  <c r="C7" i="3"/>
  <c r="B7" i="3"/>
  <c r="O6" i="3"/>
  <c r="N6" i="3"/>
  <c r="B6" i="3" s="1"/>
  <c r="C6" i="3"/>
  <c r="O5" i="3"/>
  <c r="N5" i="3"/>
  <c r="C5" i="3"/>
  <c r="B5" i="3"/>
  <c r="O4" i="3"/>
  <c r="N4" i="3"/>
  <c r="B4" i="3" s="1"/>
  <c r="C4" i="3"/>
  <c r="O3" i="3"/>
  <c r="N3" i="3"/>
  <c r="C3" i="3"/>
  <c r="B3" i="3"/>
  <c r="J214" i="2"/>
  <c r="I214" i="2"/>
  <c r="C214" i="2"/>
  <c r="B214" i="2"/>
  <c r="J213" i="2"/>
  <c r="I213" i="2"/>
  <c r="C213" i="2"/>
  <c r="J212" i="2"/>
  <c r="I212" i="2"/>
  <c r="C212" i="2"/>
  <c r="J211" i="2"/>
  <c r="I211" i="2"/>
  <c r="C211" i="2"/>
  <c r="J210" i="2"/>
  <c r="I210" i="2"/>
  <c r="C210" i="2"/>
  <c r="J209" i="2"/>
  <c r="I209" i="2"/>
  <c r="C209" i="2"/>
  <c r="J208" i="2"/>
  <c r="I208" i="2"/>
  <c r="C208" i="2"/>
  <c r="J207" i="2"/>
  <c r="I207" i="2"/>
  <c r="C207" i="2"/>
  <c r="J206" i="2"/>
  <c r="I206" i="2"/>
  <c r="C206" i="2"/>
  <c r="J205" i="2"/>
  <c r="I205" i="2"/>
  <c r="C205" i="2"/>
  <c r="J204" i="2"/>
  <c r="I204" i="2"/>
  <c r="C204" i="2"/>
  <c r="J203" i="2"/>
  <c r="I203" i="2"/>
  <c r="C203" i="2"/>
  <c r="J202" i="2"/>
  <c r="I202" i="2"/>
  <c r="C202" i="2"/>
  <c r="J201" i="2"/>
  <c r="I201" i="2"/>
  <c r="C201" i="2"/>
  <c r="J200" i="2"/>
  <c r="I200" i="2"/>
  <c r="C200" i="2"/>
  <c r="J199" i="2"/>
  <c r="I199" i="2"/>
  <c r="C199" i="2"/>
  <c r="J198" i="2"/>
  <c r="I198" i="2"/>
  <c r="C198" i="2"/>
  <c r="J197" i="2"/>
  <c r="I197" i="2"/>
  <c r="C197" i="2"/>
  <c r="J196" i="2"/>
  <c r="I196" i="2"/>
  <c r="C196" i="2"/>
  <c r="J195" i="2"/>
  <c r="I195" i="2"/>
  <c r="C195" i="2"/>
  <c r="J194" i="2"/>
  <c r="I194" i="2"/>
  <c r="C194" i="2"/>
  <c r="J193" i="2"/>
  <c r="I193" i="2"/>
  <c r="C193" i="2"/>
  <c r="J192" i="2"/>
  <c r="I192" i="2"/>
  <c r="C192" i="2"/>
  <c r="J191" i="2"/>
  <c r="I191" i="2"/>
  <c r="C191" i="2"/>
  <c r="J190" i="2"/>
  <c r="I190" i="2"/>
  <c r="C190" i="2"/>
  <c r="J189" i="2"/>
  <c r="I189" i="2"/>
  <c r="C189" i="2"/>
  <c r="J188" i="2"/>
  <c r="I188" i="2"/>
  <c r="C188" i="2"/>
  <c r="J187" i="2"/>
  <c r="I187" i="2"/>
  <c r="C187" i="2"/>
  <c r="J186" i="2"/>
  <c r="I186" i="2"/>
  <c r="C186" i="2"/>
  <c r="J185" i="2"/>
  <c r="I185" i="2"/>
  <c r="C185" i="2"/>
  <c r="J184" i="2"/>
  <c r="I184" i="2"/>
  <c r="C184" i="2"/>
  <c r="J183" i="2"/>
  <c r="I183" i="2"/>
  <c r="C183" i="2"/>
  <c r="J182" i="2"/>
  <c r="I182" i="2"/>
  <c r="C182" i="2"/>
  <c r="J181" i="2"/>
  <c r="I181" i="2"/>
  <c r="C181" i="2"/>
  <c r="J180" i="2"/>
  <c r="I180" i="2"/>
  <c r="C180" i="2"/>
  <c r="J179" i="2"/>
  <c r="I179" i="2"/>
  <c r="C179" i="2"/>
  <c r="J178" i="2"/>
  <c r="I178" i="2"/>
  <c r="C178" i="2"/>
  <c r="J177" i="2"/>
  <c r="I177" i="2"/>
  <c r="C177" i="2"/>
  <c r="J176" i="2"/>
  <c r="I176" i="2"/>
  <c r="C176" i="2"/>
  <c r="J175" i="2"/>
  <c r="I175" i="2"/>
  <c r="C175" i="2"/>
  <c r="J174" i="2"/>
  <c r="I174" i="2"/>
  <c r="C174" i="2"/>
  <c r="J173" i="2"/>
  <c r="I173" i="2"/>
  <c r="C173" i="2"/>
  <c r="J172" i="2"/>
  <c r="I172" i="2"/>
  <c r="C172" i="2"/>
  <c r="J171" i="2"/>
  <c r="I171" i="2"/>
  <c r="C171" i="2"/>
  <c r="J170" i="2"/>
  <c r="I170" i="2"/>
  <c r="C170" i="2"/>
  <c r="J169" i="2"/>
  <c r="I169" i="2"/>
  <c r="C169" i="2"/>
  <c r="J168" i="2"/>
  <c r="I168" i="2"/>
  <c r="C168" i="2"/>
  <c r="J167" i="2"/>
  <c r="I167" i="2"/>
  <c r="C167" i="2"/>
  <c r="J166" i="2"/>
  <c r="I166" i="2"/>
  <c r="C166" i="2"/>
  <c r="J165" i="2"/>
  <c r="I165" i="2"/>
  <c r="C165" i="2"/>
  <c r="J164" i="2"/>
  <c r="I164" i="2"/>
  <c r="C164" i="2"/>
  <c r="J163" i="2"/>
  <c r="I163" i="2"/>
  <c r="C163" i="2"/>
  <c r="J162" i="2"/>
  <c r="I162" i="2"/>
  <c r="C162" i="2"/>
  <c r="J161" i="2"/>
  <c r="I161" i="2"/>
  <c r="C161" i="2"/>
  <c r="J160" i="2"/>
  <c r="I160" i="2"/>
  <c r="C160" i="2"/>
  <c r="J159" i="2"/>
  <c r="I159" i="2"/>
  <c r="C159" i="2"/>
  <c r="J158" i="2"/>
  <c r="I158" i="2"/>
  <c r="C158" i="2"/>
  <c r="J157" i="2"/>
  <c r="I157" i="2"/>
  <c r="C157" i="2"/>
  <c r="J156" i="2"/>
  <c r="I156" i="2"/>
  <c r="C156" i="2"/>
  <c r="J155" i="2"/>
  <c r="I155" i="2"/>
  <c r="C155" i="2"/>
  <c r="J154" i="2"/>
  <c r="I154" i="2"/>
  <c r="C154" i="2"/>
  <c r="J153" i="2"/>
  <c r="I153" i="2"/>
  <c r="C153" i="2"/>
  <c r="J152" i="2"/>
  <c r="I152" i="2"/>
  <c r="C152" i="2"/>
  <c r="J151" i="2"/>
  <c r="I151" i="2"/>
  <c r="C151" i="2"/>
  <c r="J150" i="2"/>
  <c r="I150" i="2"/>
  <c r="C150" i="2"/>
  <c r="J149" i="2"/>
  <c r="I149" i="2"/>
  <c r="C149" i="2"/>
  <c r="J148" i="2"/>
  <c r="I148" i="2"/>
  <c r="C148" i="2"/>
  <c r="J147" i="2"/>
  <c r="I147" i="2"/>
  <c r="C147" i="2"/>
  <c r="J146" i="2"/>
  <c r="I146" i="2"/>
  <c r="C146" i="2"/>
  <c r="J145" i="2"/>
  <c r="I145" i="2"/>
  <c r="C145" i="2"/>
  <c r="J144" i="2"/>
  <c r="I144" i="2"/>
  <c r="C144" i="2"/>
  <c r="J143" i="2"/>
  <c r="I143" i="2"/>
  <c r="C143" i="2"/>
  <c r="J142" i="2"/>
  <c r="I142" i="2"/>
  <c r="C142" i="2"/>
  <c r="J141" i="2"/>
  <c r="I141" i="2"/>
  <c r="C141" i="2"/>
  <c r="J140" i="2"/>
  <c r="I140" i="2"/>
  <c r="C140" i="2"/>
  <c r="J139" i="2"/>
  <c r="I139" i="2"/>
  <c r="C139" i="2"/>
  <c r="J138" i="2"/>
  <c r="I138" i="2"/>
  <c r="C138" i="2"/>
  <c r="J137" i="2"/>
  <c r="I137" i="2"/>
  <c r="C137" i="2"/>
  <c r="J136" i="2"/>
  <c r="I136" i="2"/>
  <c r="C136" i="2"/>
  <c r="J135" i="2"/>
  <c r="I135" i="2"/>
  <c r="C135" i="2"/>
  <c r="J134" i="2"/>
  <c r="I134" i="2"/>
  <c r="C134" i="2"/>
  <c r="J133" i="2"/>
  <c r="I133" i="2"/>
  <c r="C133" i="2"/>
  <c r="J132" i="2"/>
  <c r="I132" i="2"/>
  <c r="C132" i="2"/>
  <c r="J131" i="2"/>
  <c r="I131" i="2"/>
  <c r="C131" i="2"/>
  <c r="J130" i="2"/>
  <c r="I130" i="2"/>
  <c r="C130" i="2"/>
  <c r="J129" i="2"/>
  <c r="I129" i="2"/>
  <c r="C129" i="2"/>
  <c r="J128" i="2"/>
  <c r="I128" i="2"/>
  <c r="C128" i="2"/>
  <c r="J127" i="2"/>
  <c r="I127" i="2"/>
  <c r="C127" i="2"/>
  <c r="J126" i="2"/>
  <c r="I126" i="2"/>
  <c r="C126" i="2"/>
  <c r="J125" i="2"/>
  <c r="I125" i="2"/>
  <c r="C125" i="2"/>
  <c r="J124" i="2"/>
  <c r="I124" i="2"/>
  <c r="C124" i="2"/>
  <c r="J123" i="2"/>
  <c r="I123" i="2"/>
  <c r="C123" i="2"/>
  <c r="J122" i="2"/>
  <c r="I122" i="2"/>
  <c r="C122" i="2"/>
  <c r="J121" i="2"/>
  <c r="I121" i="2"/>
  <c r="C121" i="2"/>
  <c r="J120" i="2"/>
  <c r="I120" i="2"/>
  <c r="C120" i="2"/>
  <c r="J119" i="2"/>
  <c r="I119" i="2"/>
  <c r="C119" i="2"/>
  <c r="J118" i="2"/>
  <c r="I118" i="2"/>
  <c r="C118" i="2"/>
  <c r="J117" i="2"/>
  <c r="I117" i="2"/>
  <c r="C117" i="2"/>
  <c r="J116" i="2"/>
  <c r="I116" i="2"/>
  <c r="C116" i="2"/>
  <c r="J115" i="2"/>
  <c r="I115" i="2"/>
  <c r="C115" i="2"/>
  <c r="J114" i="2"/>
  <c r="I114" i="2"/>
  <c r="C114" i="2"/>
  <c r="J112" i="2"/>
  <c r="I112" i="2"/>
  <c r="C112" i="2"/>
  <c r="J111" i="2"/>
  <c r="I111" i="2"/>
  <c r="C111" i="2"/>
  <c r="J110" i="2"/>
  <c r="I110" i="2"/>
  <c r="C110" i="2"/>
  <c r="J109" i="2"/>
  <c r="I109" i="2"/>
  <c r="C109" i="2"/>
  <c r="J108" i="2"/>
  <c r="I108" i="2"/>
  <c r="C108" i="2"/>
  <c r="J107" i="2"/>
  <c r="I107" i="2"/>
  <c r="C107" i="2"/>
  <c r="J106" i="2"/>
  <c r="I106" i="2"/>
  <c r="C106" i="2"/>
  <c r="J105" i="2"/>
  <c r="I105" i="2"/>
  <c r="C105" i="2"/>
  <c r="J104" i="2"/>
  <c r="I104" i="2"/>
  <c r="C104" i="2"/>
  <c r="J103" i="2"/>
  <c r="I103" i="2"/>
  <c r="C103" i="2"/>
  <c r="J102" i="2"/>
  <c r="I102" i="2"/>
  <c r="C102" i="2"/>
  <c r="J101" i="2"/>
  <c r="I101" i="2"/>
  <c r="C101" i="2"/>
  <c r="J100" i="2"/>
  <c r="I100" i="2"/>
  <c r="C100" i="2"/>
  <c r="J99" i="2"/>
  <c r="I99" i="2"/>
  <c r="C99" i="2"/>
  <c r="J98" i="2"/>
  <c r="I98" i="2"/>
  <c r="C98" i="2"/>
  <c r="J97" i="2"/>
  <c r="I97" i="2"/>
  <c r="C97" i="2"/>
  <c r="J96" i="2"/>
  <c r="I96" i="2"/>
  <c r="C96" i="2"/>
  <c r="J95" i="2"/>
  <c r="I95" i="2"/>
  <c r="C95" i="2"/>
  <c r="J94" i="2"/>
  <c r="I94" i="2"/>
  <c r="C94" i="2"/>
  <c r="J93" i="2"/>
  <c r="I93" i="2"/>
  <c r="C93" i="2"/>
  <c r="J92" i="2"/>
  <c r="I92" i="2"/>
  <c r="C92" i="2"/>
  <c r="J91" i="2"/>
  <c r="I91" i="2"/>
  <c r="C91" i="2"/>
  <c r="J90" i="2"/>
  <c r="I90" i="2"/>
  <c r="C90" i="2"/>
  <c r="J89" i="2"/>
  <c r="I89" i="2"/>
  <c r="C89" i="2"/>
  <c r="J88" i="2"/>
  <c r="I88" i="2"/>
  <c r="C88" i="2"/>
  <c r="J87" i="2"/>
  <c r="I87" i="2"/>
  <c r="C87" i="2"/>
  <c r="J86" i="2"/>
  <c r="I86" i="2"/>
  <c r="C86" i="2"/>
  <c r="J85" i="2"/>
  <c r="I85" i="2"/>
  <c r="C85" i="2"/>
  <c r="J84" i="2"/>
  <c r="I84" i="2"/>
  <c r="C84" i="2"/>
  <c r="J83" i="2"/>
  <c r="I83" i="2"/>
  <c r="C83" i="2"/>
  <c r="J82" i="2"/>
  <c r="I82" i="2"/>
  <c r="C82" i="2"/>
  <c r="J81" i="2"/>
  <c r="I81" i="2"/>
  <c r="C81" i="2"/>
  <c r="J80" i="2"/>
  <c r="I80" i="2"/>
  <c r="C80" i="2"/>
  <c r="J79" i="2"/>
  <c r="I79" i="2"/>
  <c r="C79" i="2"/>
  <c r="J78" i="2"/>
  <c r="I78" i="2"/>
  <c r="C78" i="2"/>
  <c r="J77" i="2"/>
  <c r="I77" i="2"/>
  <c r="C77" i="2"/>
  <c r="J76" i="2"/>
  <c r="I76" i="2"/>
  <c r="C76" i="2"/>
  <c r="J75" i="2"/>
  <c r="I75" i="2"/>
  <c r="C75" i="2"/>
  <c r="J74" i="2"/>
  <c r="I74" i="2"/>
  <c r="C74" i="2"/>
  <c r="J73" i="2"/>
  <c r="I73" i="2"/>
  <c r="C73" i="2"/>
  <c r="J72" i="2"/>
  <c r="I72" i="2"/>
  <c r="C72" i="2"/>
  <c r="J71" i="2"/>
  <c r="I71" i="2"/>
  <c r="C71" i="2"/>
  <c r="J70" i="2"/>
  <c r="I70" i="2"/>
  <c r="C70" i="2"/>
  <c r="J69" i="2"/>
  <c r="I69" i="2"/>
  <c r="C69" i="2"/>
  <c r="J68" i="2"/>
  <c r="I68" i="2"/>
  <c r="C68" i="2"/>
  <c r="J67" i="2"/>
  <c r="I67" i="2"/>
  <c r="C67" i="2"/>
  <c r="J66" i="2"/>
  <c r="I66" i="2"/>
  <c r="C66" i="2"/>
  <c r="J65" i="2"/>
  <c r="I65" i="2"/>
  <c r="C65" i="2"/>
  <c r="J64" i="2"/>
  <c r="I64" i="2"/>
  <c r="C64" i="2"/>
  <c r="J63" i="2"/>
  <c r="I63" i="2"/>
  <c r="C63" i="2"/>
  <c r="J62" i="2"/>
  <c r="I62" i="2"/>
  <c r="C62" i="2"/>
  <c r="J61" i="2"/>
  <c r="I61" i="2"/>
  <c r="C61" i="2"/>
  <c r="J60" i="2"/>
  <c r="I60" i="2"/>
  <c r="C60" i="2"/>
  <c r="J59" i="2"/>
  <c r="I59" i="2"/>
  <c r="C59" i="2"/>
  <c r="J58" i="2"/>
  <c r="I58" i="2"/>
  <c r="C58" i="2"/>
  <c r="J57" i="2"/>
  <c r="I57" i="2"/>
  <c r="C57" i="2"/>
  <c r="J56" i="2"/>
  <c r="I56" i="2"/>
  <c r="C56" i="2"/>
  <c r="J55" i="2"/>
  <c r="I55" i="2"/>
  <c r="C55" i="2"/>
  <c r="J54" i="2"/>
  <c r="I54" i="2"/>
  <c r="C54" i="2"/>
  <c r="J53" i="2"/>
  <c r="I53" i="2"/>
  <c r="C53" i="2"/>
  <c r="J52" i="2"/>
  <c r="I52" i="2"/>
  <c r="C52" i="2"/>
  <c r="J51" i="2"/>
  <c r="I51" i="2"/>
  <c r="C51" i="2"/>
  <c r="J50" i="2"/>
  <c r="I50" i="2"/>
  <c r="C50" i="2"/>
  <c r="J49" i="2"/>
  <c r="I49" i="2"/>
  <c r="C49" i="2"/>
  <c r="J48" i="2"/>
  <c r="I48" i="2"/>
  <c r="C48" i="2"/>
  <c r="J47" i="2"/>
  <c r="I47" i="2"/>
  <c r="C47" i="2"/>
  <c r="J46" i="2"/>
  <c r="I46" i="2"/>
  <c r="C46" i="2"/>
  <c r="J45" i="2"/>
  <c r="I45" i="2"/>
  <c r="C45" i="2"/>
  <c r="J44" i="2"/>
  <c r="I44" i="2"/>
  <c r="C44" i="2"/>
  <c r="J43" i="2"/>
  <c r="I43" i="2"/>
  <c r="C43" i="2"/>
  <c r="J42" i="2"/>
  <c r="I42" i="2"/>
  <c r="C42" i="2"/>
  <c r="J41" i="2"/>
  <c r="I41" i="2"/>
  <c r="C41" i="2"/>
  <c r="J40" i="2"/>
  <c r="I40" i="2"/>
  <c r="C40" i="2"/>
  <c r="J39" i="2"/>
  <c r="I39" i="2"/>
  <c r="C39" i="2"/>
  <c r="J38" i="2"/>
  <c r="I38" i="2"/>
  <c r="C38" i="2"/>
  <c r="J37" i="2"/>
  <c r="I37" i="2"/>
  <c r="C37" i="2"/>
  <c r="J36" i="2"/>
  <c r="I36" i="2"/>
  <c r="C36" i="2"/>
  <c r="J35" i="2"/>
  <c r="I35" i="2"/>
  <c r="C35" i="2"/>
  <c r="J34" i="2"/>
  <c r="I34" i="2"/>
  <c r="C34" i="2"/>
  <c r="J33" i="2"/>
  <c r="I33" i="2"/>
  <c r="C33" i="2"/>
  <c r="J32" i="2"/>
  <c r="I32" i="2"/>
  <c r="C32" i="2"/>
  <c r="J31" i="2"/>
  <c r="I31" i="2"/>
  <c r="C31" i="2"/>
  <c r="J30" i="2"/>
  <c r="I30" i="2"/>
  <c r="C30" i="2"/>
  <c r="J29" i="2"/>
  <c r="I29" i="2"/>
  <c r="C29" i="2"/>
  <c r="J28" i="2"/>
  <c r="I28" i="2"/>
  <c r="C28" i="2"/>
  <c r="J27" i="2"/>
  <c r="I27" i="2"/>
  <c r="C27" i="2"/>
  <c r="J26" i="2"/>
  <c r="I26" i="2"/>
  <c r="C26" i="2"/>
  <c r="J25" i="2"/>
  <c r="I25" i="2"/>
  <c r="C25" i="2"/>
  <c r="J24" i="2"/>
  <c r="I24" i="2"/>
  <c r="C24" i="2"/>
  <c r="J23" i="2"/>
  <c r="I23" i="2"/>
  <c r="C23" i="2"/>
  <c r="J22" i="2"/>
  <c r="I22" i="2"/>
  <c r="C22" i="2"/>
  <c r="J21" i="2"/>
  <c r="I21" i="2"/>
  <c r="C21" i="2"/>
  <c r="J20" i="2"/>
  <c r="I20" i="2"/>
  <c r="C20" i="2"/>
  <c r="J19" i="2"/>
  <c r="I19" i="2"/>
  <c r="C19" i="2"/>
  <c r="J18" i="2"/>
  <c r="I18" i="2"/>
  <c r="C18" i="2"/>
  <c r="J17" i="2"/>
  <c r="I17" i="2"/>
  <c r="C17" i="2"/>
  <c r="J16" i="2"/>
  <c r="I16" i="2"/>
  <c r="C16" i="2"/>
  <c r="J15" i="2"/>
  <c r="I15" i="2"/>
  <c r="C15" i="2"/>
  <c r="J14" i="2"/>
  <c r="I14" i="2"/>
  <c r="C14" i="2"/>
  <c r="J13" i="2"/>
  <c r="I13" i="2"/>
  <c r="C13" i="2"/>
  <c r="J12" i="2"/>
  <c r="I12" i="2"/>
  <c r="C12" i="2"/>
  <c r="J11" i="2"/>
  <c r="I11" i="2"/>
  <c r="C11" i="2"/>
  <c r="J10" i="2"/>
  <c r="I10" i="2"/>
  <c r="C10" i="2"/>
  <c r="J9" i="2"/>
  <c r="I9" i="2"/>
  <c r="C9" i="2"/>
  <c r="J8" i="2"/>
  <c r="I8" i="2"/>
  <c r="C8" i="2"/>
  <c r="J7" i="2"/>
  <c r="I7" i="2"/>
  <c r="C7" i="2"/>
  <c r="J6" i="2"/>
  <c r="I6" i="2"/>
  <c r="C6" i="2"/>
  <c r="J5" i="2"/>
  <c r="I5" i="2"/>
  <c r="C5" i="2"/>
  <c r="J4" i="2"/>
  <c r="I4" i="2"/>
  <c r="C4" i="2"/>
  <c r="J3" i="2"/>
  <c r="I3" i="2"/>
  <c r="C3" i="2"/>
  <c r="L214" i="1"/>
  <c r="K214" i="1"/>
  <c r="C214" i="1"/>
  <c r="L213" i="1"/>
  <c r="K213" i="1"/>
  <c r="C213" i="1"/>
  <c r="L212" i="1"/>
  <c r="K212" i="1"/>
  <c r="C212" i="1"/>
  <c r="L211" i="1"/>
  <c r="K211" i="1"/>
  <c r="C211" i="1"/>
  <c r="L210" i="1"/>
  <c r="B210" i="1" s="1"/>
  <c r="K210" i="1"/>
  <c r="C210" i="1"/>
  <c r="L209" i="1"/>
  <c r="K209" i="1"/>
  <c r="C209" i="1"/>
  <c r="L208" i="1"/>
  <c r="K208" i="1"/>
  <c r="C208" i="1"/>
  <c r="L207" i="1"/>
  <c r="K207" i="1"/>
  <c r="C207" i="1"/>
  <c r="L206" i="1"/>
  <c r="K206" i="1"/>
  <c r="C206" i="1"/>
  <c r="L205" i="1"/>
  <c r="K205" i="1"/>
  <c r="C205" i="1"/>
  <c r="L204" i="1"/>
  <c r="K204" i="1"/>
  <c r="C204" i="1"/>
  <c r="L203" i="1"/>
  <c r="K203" i="1"/>
  <c r="C203" i="1"/>
  <c r="L202" i="1"/>
  <c r="K202" i="1"/>
  <c r="C202" i="1"/>
  <c r="L201" i="1"/>
  <c r="K201" i="1"/>
  <c r="C201" i="1"/>
  <c r="L200" i="1"/>
  <c r="K200" i="1"/>
  <c r="C200" i="1"/>
  <c r="L199" i="1"/>
  <c r="K199" i="1"/>
  <c r="C199" i="1"/>
  <c r="L198" i="1"/>
  <c r="K198" i="1"/>
  <c r="C198" i="1"/>
  <c r="L197" i="1"/>
  <c r="K197" i="1"/>
  <c r="C197" i="1"/>
  <c r="L196" i="1"/>
  <c r="K196" i="1"/>
  <c r="C196" i="1"/>
  <c r="L195" i="1"/>
  <c r="K195" i="1"/>
  <c r="C195" i="1"/>
  <c r="L194" i="1"/>
  <c r="K194" i="1"/>
  <c r="C194" i="1"/>
  <c r="L193" i="1"/>
  <c r="K193" i="1"/>
  <c r="C193" i="1"/>
  <c r="L192" i="1"/>
  <c r="K192" i="1"/>
  <c r="C192" i="1"/>
  <c r="L191" i="1"/>
  <c r="K191" i="1"/>
  <c r="C191" i="1"/>
  <c r="L190" i="1"/>
  <c r="K190" i="1"/>
  <c r="C190" i="1"/>
  <c r="L189" i="1"/>
  <c r="K189" i="1"/>
  <c r="C189" i="1"/>
  <c r="L188" i="1"/>
  <c r="K188" i="1"/>
  <c r="C188" i="1"/>
  <c r="L187" i="1"/>
  <c r="K187" i="1"/>
  <c r="C187" i="1"/>
  <c r="L186" i="1"/>
  <c r="K186" i="1"/>
  <c r="C186" i="1"/>
  <c r="L185" i="1"/>
  <c r="K185" i="1"/>
  <c r="C185" i="1"/>
  <c r="L184" i="1"/>
  <c r="K184" i="1"/>
  <c r="C184" i="1"/>
  <c r="L183" i="1"/>
  <c r="K183" i="1"/>
  <c r="C183" i="1"/>
  <c r="L182" i="1"/>
  <c r="K182" i="1"/>
  <c r="C182" i="1"/>
  <c r="L181" i="1"/>
  <c r="K181" i="1"/>
  <c r="C181" i="1"/>
  <c r="L180" i="1"/>
  <c r="K180" i="1"/>
  <c r="C180" i="1"/>
  <c r="L179" i="1"/>
  <c r="K179" i="1"/>
  <c r="C179" i="1"/>
  <c r="L178" i="1"/>
  <c r="K178" i="1"/>
  <c r="C178" i="1"/>
  <c r="L177" i="1"/>
  <c r="K177" i="1"/>
  <c r="C177" i="1"/>
  <c r="L176" i="1"/>
  <c r="K176" i="1"/>
  <c r="C176" i="1"/>
  <c r="L175" i="1"/>
  <c r="K175" i="1"/>
  <c r="C175" i="1"/>
  <c r="L174" i="1"/>
  <c r="K174" i="1"/>
  <c r="C174" i="1"/>
  <c r="L173" i="1"/>
  <c r="K173" i="1"/>
  <c r="C173" i="1"/>
  <c r="L172" i="1"/>
  <c r="K172" i="1"/>
  <c r="C172" i="1"/>
  <c r="L171" i="1"/>
  <c r="K171" i="1"/>
  <c r="B171" i="1" s="1"/>
  <c r="C171" i="1"/>
  <c r="L170" i="1"/>
  <c r="K170" i="1"/>
  <c r="C170" i="1"/>
  <c r="L169" i="1"/>
  <c r="K169" i="1"/>
  <c r="C169" i="1"/>
  <c r="L168" i="1"/>
  <c r="K168" i="1"/>
  <c r="C168" i="1"/>
  <c r="L167" i="1"/>
  <c r="K167" i="1"/>
  <c r="C167" i="1"/>
  <c r="L166" i="1"/>
  <c r="K166" i="1"/>
  <c r="C166" i="1"/>
  <c r="L165" i="1"/>
  <c r="K165" i="1"/>
  <c r="C165" i="1"/>
  <c r="L164" i="1"/>
  <c r="K164" i="1"/>
  <c r="C164" i="1"/>
  <c r="L163" i="1"/>
  <c r="K163" i="1"/>
  <c r="B163" i="1" s="1"/>
  <c r="C163" i="1"/>
  <c r="L162" i="1"/>
  <c r="K162" i="1"/>
  <c r="C162" i="1"/>
  <c r="L161" i="1"/>
  <c r="K161" i="1"/>
  <c r="C161" i="1"/>
  <c r="L160" i="1"/>
  <c r="K160" i="1"/>
  <c r="C160" i="1"/>
  <c r="L159" i="1"/>
  <c r="K159" i="1"/>
  <c r="C159" i="1"/>
  <c r="L158" i="1"/>
  <c r="K158" i="1"/>
  <c r="C158" i="1"/>
  <c r="L157" i="1"/>
  <c r="K157" i="1"/>
  <c r="C157" i="1"/>
  <c r="L156" i="1"/>
  <c r="K156" i="1"/>
  <c r="C156" i="1"/>
  <c r="L155" i="1"/>
  <c r="K155" i="1"/>
  <c r="C155" i="1"/>
  <c r="L154" i="1"/>
  <c r="K154" i="1"/>
  <c r="C154" i="1"/>
  <c r="L153" i="1"/>
  <c r="K153" i="1"/>
  <c r="C153" i="1"/>
  <c r="L152" i="1"/>
  <c r="K152" i="1"/>
  <c r="C152" i="1"/>
  <c r="L151" i="1"/>
  <c r="K151" i="1"/>
  <c r="C151" i="1"/>
  <c r="L150" i="1"/>
  <c r="K150" i="1"/>
  <c r="C150" i="1"/>
  <c r="L149" i="1"/>
  <c r="K149" i="1"/>
  <c r="C149" i="1"/>
  <c r="L148" i="1"/>
  <c r="K148" i="1"/>
  <c r="C148" i="1"/>
  <c r="L147" i="1"/>
  <c r="K147" i="1"/>
  <c r="C147" i="1"/>
  <c r="L146" i="1"/>
  <c r="K146" i="1"/>
  <c r="C146" i="1"/>
  <c r="L145" i="1"/>
  <c r="K145" i="1"/>
  <c r="C145" i="1"/>
  <c r="L144" i="1"/>
  <c r="K144" i="1"/>
  <c r="C144" i="1"/>
  <c r="L143" i="1"/>
  <c r="K143" i="1"/>
  <c r="C143" i="1"/>
  <c r="L142" i="1"/>
  <c r="K142" i="1"/>
  <c r="C142" i="1"/>
  <c r="L141" i="1"/>
  <c r="K141" i="1"/>
  <c r="C141" i="1"/>
  <c r="L140" i="1"/>
  <c r="K140" i="1"/>
  <c r="C140" i="1"/>
  <c r="L139" i="1"/>
  <c r="K139" i="1"/>
  <c r="C139" i="1"/>
  <c r="L138" i="1"/>
  <c r="K138" i="1"/>
  <c r="C138" i="1"/>
  <c r="L137" i="1"/>
  <c r="K137" i="1"/>
  <c r="C137" i="1"/>
  <c r="L136" i="1"/>
  <c r="K136" i="1"/>
  <c r="C136" i="1"/>
  <c r="L135" i="1"/>
  <c r="K135" i="1"/>
  <c r="C135" i="1"/>
  <c r="L134" i="1"/>
  <c r="K134" i="1"/>
  <c r="C134" i="1"/>
  <c r="L133" i="1"/>
  <c r="K133" i="1"/>
  <c r="C133" i="1"/>
  <c r="L132" i="1"/>
  <c r="K132" i="1"/>
  <c r="C132" i="1"/>
  <c r="L131" i="1"/>
  <c r="K131" i="1"/>
  <c r="C131" i="1"/>
  <c r="L130" i="1"/>
  <c r="K130" i="1"/>
  <c r="C130" i="1"/>
  <c r="L129" i="1"/>
  <c r="K129" i="1"/>
  <c r="C129" i="1"/>
  <c r="L128" i="1"/>
  <c r="K128" i="1"/>
  <c r="C128" i="1"/>
  <c r="L127" i="1"/>
  <c r="K127" i="1"/>
  <c r="C127" i="1"/>
  <c r="L126" i="1"/>
  <c r="K126" i="1"/>
  <c r="C126" i="1"/>
  <c r="L125" i="1"/>
  <c r="K125" i="1"/>
  <c r="C125" i="1"/>
  <c r="L124" i="1"/>
  <c r="K124" i="1"/>
  <c r="C124" i="1"/>
  <c r="L123" i="1"/>
  <c r="K123" i="1"/>
  <c r="C123" i="1"/>
  <c r="L122" i="1"/>
  <c r="K122" i="1"/>
  <c r="C122" i="1"/>
  <c r="L121" i="1"/>
  <c r="K121" i="1"/>
  <c r="C121" i="1"/>
  <c r="L120" i="1"/>
  <c r="K120" i="1"/>
  <c r="C120" i="1"/>
  <c r="L119" i="1"/>
  <c r="K119" i="1"/>
  <c r="C119" i="1"/>
  <c r="L118" i="1"/>
  <c r="K118" i="1"/>
  <c r="C118" i="1"/>
  <c r="L117" i="1"/>
  <c r="K117" i="1"/>
  <c r="C117" i="1"/>
  <c r="L116" i="1"/>
  <c r="K116" i="1"/>
  <c r="C116" i="1"/>
  <c r="L115" i="1"/>
  <c r="K115" i="1"/>
  <c r="C115" i="1"/>
  <c r="L114" i="1"/>
  <c r="K114" i="1"/>
  <c r="C114" i="1"/>
  <c r="L113" i="1"/>
  <c r="K113" i="1"/>
  <c r="C113" i="1"/>
  <c r="L112" i="1"/>
  <c r="K112" i="1"/>
  <c r="C112" i="1"/>
  <c r="L111" i="1"/>
  <c r="K111" i="1"/>
  <c r="C111" i="1"/>
  <c r="L110" i="1"/>
  <c r="K110" i="1"/>
  <c r="C110" i="1"/>
  <c r="L109" i="1"/>
  <c r="K109" i="1"/>
  <c r="C109" i="1"/>
  <c r="L108" i="1"/>
  <c r="K108" i="1"/>
  <c r="C108" i="1"/>
  <c r="L107" i="1"/>
  <c r="K107" i="1"/>
  <c r="C107" i="1"/>
  <c r="L106" i="1"/>
  <c r="K106" i="1"/>
  <c r="C106" i="1"/>
  <c r="L105" i="1"/>
  <c r="K105" i="1"/>
  <c r="C105" i="1"/>
  <c r="L104" i="1"/>
  <c r="K104" i="1"/>
  <c r="C104" i="1"/>
  <c r="L103" i="1"/>
  <c r="K103" i="1"/>
  <c r="B103" i="1" s="1"/>
  <c r="C103" i="1"/>
  <c r="L102" i="1"/>
  <c r="K102" i="1"/>
  <c r="C102" i="1"/>
  <c r="L101" i="1"/>
  <c r="K101" i="1"/>
  <c r="C101" i="1"/>
  <c r="L100" i="1"/>
  <c r="K100" i="1"/>
  <c r="C100" i="1"/>
  <c r="L99" i="1"/>
  <c r="K99" i="1"/>
  <c r="C99" i="1"/>
  <c r="L98" i="1"/>
  <c r="K98" i="1"/>
  <c r="C98" i="1"/>
  <c r="L97" i="1"/>
  <c r="K97" i="1"/>
  <c r="C97" i="1"/>
  <c r="L96" i="1"/>
  <c r="K96" i="1"/>
  <c r="C96" i="1"/>
  <c r="L95" i="1"/>
  <c r="K95" i="1"/>
  <c r="C95" i="1"/>
  <c r="L94" i="1"/>
  <c r="K94" i="1"/>
  <c r="C94" i="1"/>
  <c r="L93" i="1"/>
  <c r="K93" i="1"/>
  <c r="C93" i="1"/>
  <c r="L92" i="1"/>
  <c r="K92" i="1"/>
  <c r="C92" i="1"/>
  <c r="L91" i="1"/>
  <c r="K91" i="1"/>
  <c r="C91" i="1"/>
  <c r="L90" i="1"/>
  <c r="K90" i="1"/>
  <c r="C90" i="1"/>
  <c r="L89" i="1"/>
  <c r="K89" i="1"/>
  <c r="C89" i="1"/>
  <c r="L88" i="1"/>
  <c r="K88" i="1"/>
  <c r="C88" i="1"/>
  <c r="L87" i="1"/>
  <c r="K87" i="1"/>
  <c r="C87" i="1"/>
  <c r="L86" i="1"/>
  <c r="K86" i="1"/>
  <c r="C86" i="1"/>
  <c r="L85" i="1"/>
  <c r="K85" i="1"/>
  <c r="C85" i="1"/>
  <c r="L84" i="1"/>
  <c r="K84" i="1"/>
  <c r="C84" i="1"/>
  <c r="L83" i="1"/>
  <c r="K83" i="1"/>
  <c r="C83" i="1"/>
  <c r="L82" i="1"/>
  <c r="K82" i="1"/>
  <c r="C82" i="1"/>
  <c r="L81" i="1"/>
  <c r="K81" i="1"/>
  <c r="C81" i="1"/>
  <c r="L80" i="1"/>
  <c r="K80" i="1"/>
  <c r="C80" i="1"/>
  <c r="L79" i="1"/>
  <c r="K79" i="1"/>
  <c r="C79" i="1"/>
  <c r="L78" i="1"/>
  <c r="K78" i="1"/>
  <c r="C78" i="1"/>
  <c r="L77" i="1"/>
  <c r="K77" i="1"/>
  <c r="C77" i="1"/>
  <c r="L76" i="1"/>
  <c r="K76" i="1"/>
  <c r="C76" i="1"/>
  <c r="L75" i="1"/>
  <c r="K75" i="1"/>
  <c r="C75" i="1"/>
  <c r="L74" i="1"/>
  <c r="K74" i="1"/>
  <c r="C74" i="1"/>
  <c r="L73" i="1"/>
  <c r="K73" i="1"/>
  <c r="C73" i="1"/>
  <c r="L72" i="1"/>
  <c r="K72" i="1"/>
  <c r="C72" i="1"/>
  <c r="L71" i="1"/>
  <c r="K71" i="1"/>
  <c r="C71" i="1"/>
  <c r="L70" i="1"/>
  <c r="K70" i="1"/>
  <c r="C70" i="1"/>
  <c r="L69" i="1"/>
  <c r="K69" i="1"/>
  <c r="C69" i="1"/>
  <c r="L68" i="1"/>
  <c r="K68" i="1"/>
  <c r="C68" i="1"/>
  <c r="L67" i="1"/>
  <c r="K67" i="1"/>
  <c r="C67" i="1"/>
  <c r="L66" i="1"/>
  <c r="K66" i="1"/>
  <c r="C66" i="1"/>
  <c r="L65" i="1"/>
  <c r="K65" i="1"/>
  <c r="C65" i="1"/>
  <c r="L64" i="1"/>
  <c r="K64" i="1"/>
  <c r="C64" i="1"/>
  <c r="L63" i="1"/>
  <c r="K63" i="1"/>
  <c r="C63" i="1"/>
  <c r="L62" i="1"/>
  <c r="K62" i="1"/>
  <c r="C62" i="1"/>
  <c r="L61" i="1"/>
  <c r="K61" i="1"/>
  <c r="C61" i="1"/>
  <c r="L60" i="1"/>
  <c r="K60" i="1"/>
  <c r="C60" i="1"/>
  <c r="L59" i="1"/>
  <c r="K59" i="1"/>
  <c r="C59" i="1"/>
  <c r="L58" i="1"/>
  <c r="K58" i="1"/>
  <c r="C58" i="1"/>
  <c r="L57" i="1"/>
  <c r="K57" i="1"/>
  <c r="C57" i="1"/>
  <c r="L56" i="1"/>
  <c r="K56" i="1"/>
  <c r="C56" i="1"/>
  <c r="L55" i="1"/>
  <c r="K55" i="1"/>
  <c r="C55" i="1"/>
  <c r="L54" i="1"/>
  <c r="K54" i="1"/>
  <c r="C54" i="1"/>
  <c r="L53" i="1"/>
  <c r="K53" i="1"/>
  <c r="C53" i="1"/>
  <c r="L52" i="1"/>
  <c r="K52" i="1"/>
  <c r="C52" i="1"/>
  <c r="L51" i="1"/>
  <c r="K51" i="1"/>
  <c r="C51" i="1"/>
  <c r="L50" i="1"/>
  <c r="K50" i="1"/>
  <c r="C50" i="1"/>
  <c r="L49" i="1"/>
  <c r="K49" i="1"/>
  <c r="C49" i="1"/>
  <c r="L48" i="1"/>
  <c r="K48" i="1"/>
  <c r="C48" i="1"/>
  <c r="L47" i="1"/>
  <c r="K47" i="1"/>
  <c r="C47" i="1"/>
  <c r="L46" i="1"/>
  <c r="K46" i="1"/>
  <c r="C46" i="1"/>
  <c r="L45" i="1"/>
  <c r="K45" i="1"/>
  <c r="C45" i="1"/>
  <c r="L44" i="1"/>
  <c r="K44" i="1"/>
  <c r="C44" i="1"/>
  <c r="L43" i="1"/>
  <c r="K43" i="1"/>
  <c r="C43" i="1"/>
  <c r="L42" i="1"/>
  <c r="K42" i="1"/>
  <c r="C42" i="1"/>
  <c r="L41" i="1"/>
  <c r="K41" i="1"/>
  <c r="C41" i="1"/>
  <c r="L40" i="1"/>
  <c r="K40" i="1"/>
  <c r="C40" i="1"/>
  <c r="L39" i="1"/>
  <c r="K39" i="1"/>
  <c r="C39" i="1"/>
  <c r="L38" i="1"/>
  <c r="K38" i="1"/>
  <c r="C38" i="1"/>
  <c r="L37" i="1"/>
  <c r="K37" i="1"/>
  <c r="C37" i="1"/>
  <c r="L36" i="1"/>
  <c r="K36" i="1"/>
  <c r="C36" i="1"/>
  <c r="L35" i="1"/>
  <c r="K35" i="1"/>
  <c r="C35" i="1"/>
  <c r="L34" i="1"/>
  <c r="K34" i="1"/>
  <c r="C34" i="1"/>
  <c r="L33" i="1"/>
  <c r="K33" i="1"/>
  <c r="C33" i="1"/>
  <c r="L32" i="1"/>
  <c r="K32" i="1"/>
  <c r="C32" i="1"/>
  <c r="L31" i="1"/>
  <c r="K31" i="1"/>
  <c r="C31" i="1"/>
  <c r="L30" i="1"/>
  <c r="K30" i="1"/>
  <c r="C30" i="1"/>
  <c r="L29" i="1"/>
  <c r="K29" i="1"/>
  <c r="C29" i="1"/>
  <c r="L28" i="1"/>
  <c r="K28" i="1"/>
  <c r="C28" i="1"/>
  <c r="L27" i="1"/>
  <c r="K27" i="1"/>
  <c r="C27" i="1"/>
  <c r="L26" i="1"/>
  <c r="K26" i="1"/>
  <c r="C26" i="1"/>
  <c r="L25" i="1"/>
  <c r="K25" i="1"/>
  <c r="C25" i="1"/>
  <c r="L24" i="1"/>
  <c r="K24" i="1"/>
  <c r="C24" i="1"/>
  <c r="L23" i="1"/>
  <c r="K23" i="1"/>
  <c r="C23" i="1"/>
  <c r="L22" i="1"/>
  <c r="K22" i="1"/>
  <c r="C22" i="1"/>
  <c r="L21" i="1"/>
  <c r="K21" i="1"/>
  <c r="C21" i="1"/>
  <c r="L20" i="1"/>
  <c r="K20" i="1"/>
  <c r="C20" i="1"/>
  <c r="L19" i="1"/>
  <c r="K19" i="1"/>
  <c r="C19" i="1"/>
  <c r="L18" i="1"/>
  <c r="K18" i="1"/>
  <c r="C18" i="1"/>
  <c r="L17" i="1"/>
  <c r="K17" i="1"/>
  <c r="C17" i="1"/>
  <c r="L16" i="1"/>
  <c r="K16" i="1"/>
  <c r="C16" i="1"/>
  <c r="L15" i="1"/>
  <c r="K15" i="1"/>
  <c r="C15" i="1"/>
  <c r="L14" i="1"/>
  <c r="K14" i="1"/>
  <c r="C14" i="1"/>
  <c r="L13" i="1"/>
  <c r="K13" i="1"/>
  <c r="C13" i="1"/>
  <c r="L12" i="1"/>
  <c r="K12" i="1"/>
  <c r="C12" i="1"/>
  <c r="L11" i="1"/>
  <c r="K11" i="1"/>
  <c r="C11" i="1"/>
  <c r="L10" i="1"/>
  <c r="K10" i="1"/>
  <c r="C10" i="1"/>
  <c r="L9" i="1"/>
  <c r="K9" i="1"/>
  <c r="C9" i="1"/>
  <c r="L8" i="1"/>
  <c r="K8" i="1"/>
  <c r="C8" i="1"/>
  <c r="L7" i="1"/>
  <c r="K7" i="1"/>
  <c r="C7" i="1"/>
  <c r="L6" i="1"/>
  <c r="K6" i="1"/>
  <c r="C6" i="1"/>
  <c r="L5" i="1"/>
  <c r="K5" i="1"/>
  <c r="C5" i="1"/>
  <c r="L4" i="1"/>
  <c r="K4" i="1"/>
  <c r="C4" i="1"/>
  <c r="L3" i="1"/>
  <c r="K3" i="1"/>
  <c r="C3" i="1"/>
  <c r="B113" i="2" l="1"/>
  <c r="B212" i="2"/>
  <c r="B195" i="2"/>
  <c r="B209" i="2"/>
  <c r="B54" i="2"/>
  <c r="B62" i="2"/>
  <c r="B106" i="2"/>
  <c r="B114" i="2"/>
  <c r="B143" i="2"/>
  <c r="B200" i="2"/>
  <c r="B56" i="2"/>
  <c r="B150" i="2"/>
  <c r="B165" i="2"/>
  <c r="B173" i="2"/>
  <c r="B181" i="2"/>
  <c r="B211" i="2"/>
  <c r="B52" i="2"/>
  <c r="B91" i="2"/>
  <c r="B137" i="2"/>
  <c r="B132" i="1"/>
  <c r="B90" i="1"/>
  <c r="B121" i="1"/>
  <c r="B75" i="1"/>
  <c r="B83" i="1"/>
  <c r="B66" i="1"/>
  <c r="B93" i="1"/>
  <c r="B44" i="1"/>
  <c r="B134" i="1"/>
  <c r="B142" i="1"/>
  <c r="B32" i="1"/>
  <c r="B46" i="1"/>
  <c r="B62" i="1"/>
  <c r="B212" i="1"/>
  <c r="B151" i="1"/>
  <c r="B167" i="1"/>
  <c r="B149" i="1"/>
  <c r="B30" i="1"/>
  <c r="B161" i="1"/>
  <c r="B117" i="1"/>
  <c r="B186" i="1"/>
  <c r="B194" i="1"/>
  <c r="B202" i="1"/>
  <c r="B49" i="1"/>
  <c r="B213" i="1"/>
  <c r="B40" i="1"/>
  <c r="B190" i="1"/>
  <c r="B198" i="1"/>
  <c r="B206" i="1"/>
  <c r="B8" i="1"/>
  <c r="B60" i="1"/>
  <c r="B119" i="1"/>
  <c r="B148" i="1"/>
  <c r="B214" i="1"/>
  <c r="B128" i="1"/>
  <c r="B165" i="1"/>
  <c r="B173" i="1"/>
  <c r="B34" i="1"/>
  <c r="B42" i="1"/>
  <c r="B64" i="1"/>
  <c r="B77" i="1"/>
  <c r="B208" i="1"/>
  <c r="B14" i="1"/>
  <c r="B22" i="1"/>
  <c r="B50" i="1"/>
  <c r="B136" i="1"/>
  <c r="B159" i="1"/>
  <c r="B204" i="1"/>
  <c r="B175" i="1"/>
  <c r="B147" i="1"/>
  <c r="B28" i="1"/>
  <c r="B38" i="1"/>
  <c r="B12" i="1"/>
  <c r="B18" i="1"/>
  <c r="B54" i="1"/>
  <c r="B140" i="1"/>
  <c r="B192" i="1"/>
  <c r="B200" i="1"/>
  <c r="B10" i="1"/>
  <c r="B16" i="1"/>
  <c r="B24" i="1"/>
  <c r="B99" i="1"/>
  <c r="B107" i="1"/>
  <c r="B123" i="1"/>
  <c r="B182" i="1"/>
  <c r="B26" i="1"/>
  <c r="B43" i="1"/>
  <c r="B172" i="1"/>
  <c r="B61" i="1"/>
  <c r="B122" i="1"/>
  <c r="B115" i="1"/>
  <c r="B36" i="1"/>
  <c r="B109" i="1"/>
  <c r="B9" i="1"/>
  <c r="B3" i="1"/>
  <c r="B73" i="1"/>
  <c r="B81" i="1"/>
  <c r="B88" i="1"/>
  <c r="B105" i="1"/>
  <c r="B111" i="1"/>
  <c r="B169" i="1"/>
  <c r="B177" i="1"/>
  <c r="B150" i="1"/>
  <c r="B20" i="1"/>
  <c r="B92" i="1"/>
  <c r="B47" i="1"/>
  <c r="B86" i="1"/>
  <c r="B89" i="1"/>
  <c r="B138" i="1"/>
  <c r="B145" i="1"/>
  <c r="B179" i="1"/>
  <c r="B196" i="1"/>
  <c r="B39" i="1"/>
  <c r="B118" i="1"/>
  <c r="B160" i="1"/>
  <c r="B27" i="1"/>
  <c r="B199" i="1"/>
  <c r="B23" i="1"/>
  <c r="B58" i="1"/>
  <c r="B65" i="1"/>
  <c r="B51" i="1"/>
  <c r="B201" i="1"/>
  <c r="B170" i="1"/>
  <c r="B209" i="1"/>
  <c r="B79" i="1"/>
  <c r="B6" i="1"/>
  <c r="B13" i="1"/>
  <c r="B5" i="1"/>
  <c r="B33" i="1"/>
  <c r="B53" i="1"/>
  <c r="B56" i="1"/>
  <c r="B157" i="1"/>
  <c r="B188" i="1"/>
  <c r="B11" i="1"/>
  <c r="B25" i="1"/>
  <c r="B41" i="1"/>
  <c r="B63" i="1"/>
  <c r="B68" i="1"/>
  <c r="B70" i="1"/>
  <c r="B82" i="1"/>
  <c r="B84" i="1"/>
  <c r="B91" i="1"/>
  <c r="B95" i="1"/>
  <c r="B100" i="1"/>
  <c r="B113" i="1"/>
  <c r="B120" i="1"/>
  <c r="B125" i="1"/>
  <c r="B129" i="1"/>
  <c r="B141" i="1"/>
  <c r="B144" i="1"/>
  <c r="B153" i="1"/>
  <c r="B158" i="1"/>
  <c r="B187" i="1"/>
  <c r="B211" i="1"/>
  <c r="B7" i="1"/>
  <c r="B21" i="1"/>
  <c r="B80" i="1"/>
  <c r="B87" i="1"/>
  <c r="B110" i="1"/>
  <c r="B116" i="1"/>
  <c r="B139" i="1"/>
  <c r="B19" i="1"/>
  <c r="B35" i="1"/>
  <c r="B52" i="1"/>
  <c r="B57" i="1"/>
  <c r="B71" i="1"/>
  <c r="B78" i="1"/>
  <c r="B101" i="1"/>
  <c r="B108" i="1"/>
  <c r="B130" i="1"/>
  <c r="B137" i="1"/>
  <c r="B168" i="1"/>
  <c r="B178" i="1"/>
  <c r="B195" i="1"/>
  <c r="B205" i="1"/>
  <c r="B4" i="1"/>
  <c r="B69" i="1"/>
  <c r="B76" i="1"/>
  <c r="B85" i="1"/>
  <c r="B96" i="1"/>
  <c r="B106" i="1"/>
  <c r="B114" i="1"/>
  <c r="B126" i="1"/>
  <c r="B135" i="1"/>
  <c r="B154" i="1"/>
  <c r="B166" i="1"/>
  <c r="B176" i="1"/>
  <c r="B183" i="1"/>
  <c r="B193" i="1"/>
  <c r="B37" i="1"/>
  <c r="B59" i="1"/>
  <c r="B98" i="1"/>
  <c r="B146" i="1"/>
  <c r="B156" i="1"/>
  <c r="B180" i="1"/>
  <c r="B185" i="1"/>
  <c r="B197" i="1"/>
  <c r="B17" i="1"/>
  <c r="B15" i="1"/>
  <c r="B31" i="1"/>
  <c r="B45" i="1"/>
  <c r="B55" i="1"/>
  <c r="B74" i="1"/>
  <c r="B104" i="1"/>
  <c r="B133" i="1"/>
  <c r="B164" i="1"/>
  <c r="B174" i="1"/>
  <c r="B181" i="1"/>
  <c r="B191" i="1"/>
  <c r="B203" i="1"/>
  <c r="B207" i="1"/>
  <c r="B29" i="1"/>
  <c r="B48" i="1"/>
  <c r="B67" i="1"/>
  <c r="B72" i="1"/>
  <c r="B94" i="1"/>
  <c r="B97" i="1"/>
  <c r="B102" i="1"/>
  <c r="B112" i="1"/>
  <c r="B124" i="1"/>
  <c r="B127" i="1"/>
  <c r="B131" i="1"/>
  <c r="B143" i="1"/>
  <c r="B152" i="1"/>
  <c r="B155" i="1"/>
  <c r="B162" i="1"/>
  <c r="B184" i="1"/>
  <c r="B189" i="1"/>
  <c r="B50" i="2"/>
  <c r="B64" i="2"/>
  <c r="B73" i="2"/>
  <c r="B155" i="2"/>
  <c r="B162" i="2"/>
  <c r="B170" i="2"/>
  <c r="B178" i="2"/>
  <c r="B186" i="2"/>
  <c r="B194" i="2"/>
  <c r="B199" i="2"/>
  <c r="B185" i="2"/>
  <c r="B160" i="2"/>
  <c r="B192" i="2"/>
  <c r="B197" i="2"/>
  <c r="B203" i="2"/>
  <c r="B34" i="2"/>
  <c r="B69" i="2"/>
  <c r="B60" i="2"/>
  <c r="B48" i="2"/>
  <c r="B81" i="2"/>
  <c r="B88" i="2"/>
  <c r="B93" i="2"/>
  <c r="B124" i="2"/>
  <c r="B132" i="2"/>
  <c r="B108" i="2"/>
  <c r="B116" i="2"/>
  <c r="B123" i="2"/>
  <c r="B152" i="2"/>
  <c r="B191" i="2"/>
  <c r="B196" i="2"/>
  <c r="B202" i="2"/>
  <c r="B22" i="2"/>
  <c r="B38" i="2"/>
  <c r="B78" i="2"/>
  <c r="B84" i="2"/>
  <c r="B104" i="2"/>
  <c r="B4" i="2"/>
  <c r="B12" i="2"/>
  <c r="B20" i="2"/>
  <c r="B28" i="2"/>
  <c r="B110" i="2"/>
  <c r="B133" i="2"/>
  <c r="B26" i="2"/>
  <c r="B135" i="2"/>
  <c r="B142" i="2"/>
  <c r="B148" i="2"/>
  <c r="B163" i="2"/>
  <c r="B171" i="2"/>
  <c r="B179" i="2"/>
  <c r="B24" i="2"/>
  <c r="B32" i="2"/>
  <c r="B98" i="2"/>
  <c r="B126" i="2"/>
  <c r="B183" i="2"/>
  <c r="B40" i="2"/>
  <c r="B10" i="2"/>
  <c r="B18" i="2"/>
  <c r="B36" i="2"/>
  <c r="B94" i="2"/>
  <c r="B102" i="2"/>
  <c r="B131" i="2"/>
  <c r="B138" i="2"/>
  <c r="B144" i="2"/>
  <c r="B151" i="2"/>
  <c r="B158" i="2"/>
  <c r="B166" i="2"/>
  <c r="B174" i="2"/>
  <c r="B182" i="2"/>
  <c r="B206" i="2"/>
  <c r="B8" i="2"/>
  <c r="B16" i="2"/>
  <c r="B74" i="2"/>
  <c r="B97" i="2"/>
  <c r="B100" i="2"/>
  <c r="B120" i="2"/>
  <c r="B136" i="2"/>
  <c r="B156" i="2"/>
  <c r="B164" i="2"/>
  <c r="B172" i="2"/>
  <c r="B198" i="2"/>
  <c r="B204" i="2"/>
  <c r="B21" i="2"/>
  <c r="B71" i="2"/>
  <c r="B85" i="2"/>
  <c r="B121" i="2"/>
  <c r="B141" i="2"/>
  <c r="B147" i="2"/>
  <c r="B154" i="2"/>
  <c r="B190" i="2"/>
  <c r="B14" i="2"/>
  <c r="B46" i="2"/>
  <c r="B66" i="2"/>
  <c r="B83" i="2"/>
  <c r="B90" i="2"/>
  <c r="B95" i="2"/>
  <c r="B103" i="2"/>
  <c r="B107" i="2"/>
  <c r="B115" i="2"/>
  <c r="B140" i="2"/>
  <c r="B145" i="2"/>
  <c r="B159" i="2"/>
  <c r="B167" i="2"/>
  <c r="B49" i="2"/>
  <c r="B208" i="2"/>
  <c r="B61" i="2"/>
  <c r="B44" i="2"/>
  <c r="B177" i="2"/>
  <c r="B82" i="2"/>
  <c r="B89" i="2"/>
  <c r="B6" i="2"/>
  <c r="B30" i="2"/>
  <c r="B37" i="2"/>
  <c r="B42" i="2"/>
  <c r="B70" i="2"/>
  <c r="B77" i="2"/>
  <c r="B80" i="2"/>
  <c r="B111" i="2"/>
  <c r="B119" i="2"/>
  <c r="B129" i="2"/>
  <c r="B201" i="2"/>
  <c r="B112" i="2"/>
  <c r="B146" i="2"/>
  <c r="B17" i="2"/>
  <c r="B169" i="2"/>
  <c r="B9" i="2"/>
  <c r="B33" i="2"/>
  <c r="B58" i="2"/>
  <c r="B65" i="2"/>
  <c r="B67" i="2"/>
  <c r="B75" i="2"/>
  <c r="B79" i="2"/>
  <c r="B86" i="2"/>
  <c r="B109" i="2"/>
  <c r="B117" i="2"/>
  <c r="B127" i="2"/>
  <c r="B139" i="2"/>
  <c r="B168" i="2"/>
  <c r="B176" i="2"/>
  <c r="B188" i="2"/>
  <c r="B11" i="2"/>
  <c r="B19" i="2"/>
  <c r="B35" i="2"/>
  <c r="B47" i="2"/>
  <c r="B63" i="2"/>
  <c r="B87" i="2"/>
  <c r="B92" i="2"/>
  <c r="B99" i="2"/>
  <c r="B118" i="2"/>
  <c r="B122" i="2"/>
  <c r="B128" i="2"/>
  <c r="B149" i="2"/>
  <c r="B175" i="2"/>
  <c r="B180" i="2"/>
  <c r="B187" i="2"/>
  <c r="B205" i="2"/>
  <c r="B210" i="2"/>
  <c r="B57" i="2"/>
  <c r="B76" i="2"/>
  <c r="B105" i="2"/>
  <c r="B134" i="2"/>
  <c r="B161" i="2"/>
  <c r="B193" i="2"/>
  <c r="B7" i="2"/>
  <c r="B59" i="2"/>
  <c r="B5" i="2"/>
  <c r="B13" i="2"/>
  <c r="B29" i="2"/>
  <c r="B3" i="2"/>
  <c r="B27" i="2"/>
  <c r="B55" i="2"/>
  <c r="B31" i="2"/>
  <c r="B45" i="2"/>
  <c r="B53" i="2"/>
  <c r="B15" i="2"/>
  <c r="B43" i="2"/>
  <c r="B25" i="2"/>
  <c r="B41" i="2"/>
  <c r="B23" i="2"/>
  <c r="B39" i="2"/>
  <c r="B51" i="2"/>
  <c r="B68" i="2"/>
  <c r="B72" i="2"/>
  <c r="B96" i="2"/>
  <c r="B101" i="2"/>
  <c r="B125" i="2"/>
  <c r="B130" i="2"/>
  <c r="B153" i="2"/>
  <c r="B157" i="2"/>
  <c r="B184" i="2"/>
  <c r="B189" i="2"/>
  <c r="B207" i="2"/>
  <c r="B213" i="2"/>
  <c r="B31" i="3"/>
  <c r="B47" i="3"/>
  <c r="B63" i="3"/>
  <c r="B79" i="3"/>
  <c r="B95" i="3"/>
  <c r="B111" i="3"/>
  <c r="B127" i="3"/>
  <c r="B143" i="3"/>
  <c r="B159" i="3"/>
  <c r="B175" i="3"/>
  <c r="B29" i="3"/>
  <c r="B45" i="3"/>
  <c r="B61" i="3"/>
  <c r="B77" i="3"/>
  <c r="B93" i="3"/>
  <c r="B109" i="3"/>
  <c r="B125" i="3"/>
  <c r="B141" i="3"/>
  <c r="B157" i="3"/>
  <c r="B173" i="3"/>
  <c r="B27" i="3"/>
  <c r="B43" i="3"/>
  <c r="B59" i="3"/>
  <c r="B75" i="3"/>
  <c r="B91" i="3"/>
  <c r="B107" i="3"/>
  <c r="B123" i="3"/>
  <c r="B139" i="3"/>
  <c r="B155" i="3"/>
  <c r="B171" i="3"/>
  <c r="B33" i="3"/>
  <c r="B49" i="3"/>
  <c r="B65" i="3"/>
  <c r="B81" i="3"/>
  <c r="B97" i="3"/>
  <c r="B113" i="3"/>
  <c r="B129" i="3"/>
  <c r="B145" i="3"/>
  <c r="B161" i="3"/>
  <c r="B177" i="3"/>
</calcChain>
</file>

<file path=xl/sharedStrings.xml><?xml version="1.0" encoding="utf-8"?>
<sst xmlns="http://schemas.openxmlformats.org/spreadsheetml/2006/main" count="1047" uniqueCount="288">
  <si>
    <t>https://www.iea.org/countries</t>
  </si>
  <si>
    <t>https://ourworldindata.org/electricity-mix</t>
  </si>
  <si>
    <t>https://ourworldindata.org/grapher/population-with-un-projections?tab=table&amp;time=2023</t>
  </si>
  <si>
    <r>
      <rPr>
        <u/>
        <sz val="10"/>
        <color rgb="FF1155CC"/>
        <rFont val="Arial"/>
        <family val="2"/>
      </rPr>
      <t>https://yearbook.enerdata.net/natural-gas/world-natural-gas-production-statistics.html</t>
    </r>
  </si>
  <si>
    <r>
      <rPr>
        <u/>
        <sz val="10"/>
        <color rgb="FF1155CC"/>
        <rFont val="Arial"/>
        <family val="2"/>
      </rPr>
      <t>https://yearbook.enerdata.net/natural-gas/world-natural-gas-production-statistics.html</t>
    </r>
  </si>
  <si>
    <t>Standard Deviation</t>
  </si>
  <si>
    <t>2022 or 2023 (GWh)</t>
  </si>
  <si>
    <t>2023 (per capita; kWh)</t>
  </si>
  <si>
    <t>2023 population</t>
  </si>
  <si>
    <t>Column E in TWh</t>
  </si>
  <si>
    <t>F*H (TWh)</t>
  </si>
  <si>
    <t>2023 (TWh)</t>
  </si>
  <si>
    <t>2022 (TWh)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</si>
  <si>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</si>
  <si>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</si>
  <si>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</si>
  <si>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</si>
  <si>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</si>
  <si>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</si>
  <si>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</si>
  <si>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</si>
  <si>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</si>
  <si>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</si>
  <si>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</si>
  <si>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</si>
  <si>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</si>
  <si>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</si>
  <si>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</si>
  <si>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</si>
  <si>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</si>
  <si>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</si>
  <si>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</si>
  <si>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</si>
  <si>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</si>
  <si>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Bermuda</t>
  </si>
  <si>
    <t>Benin</t>
  </si>
  <si>
    <t>Bhutan</t>
  </si>
  <si>
    <t>Bolivia</t>
  </si>
  <si>
    <t>Bonaire Sint Eustatius and Saba</t>
  </si>
  <si>
    <t>Botswana</t>
  </si>
  <si>
    <t>Brazil</t>
  </si>
  <si>
    <t>British Virgin Islands</t>
  </si>
  <si>
    <t>Brunei Darussalem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</si>
  <si>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</si>
  <si>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</si>
  <si>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</si>
  <si>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</si>
  <si>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</si>
  <si>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</si>
  <si>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</si>
  <si>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</si>
  <si>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</si>
  <si>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</si>
  <si>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</si>
  <si>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</si>
  <si>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</si>
  <si>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</si>
  <si>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</si>
  <si>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</si>
  <si>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</si>
  <si>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</si>
  <si>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</si>
  <si>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</si>
  <si>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</si>
  <si>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</si>
  <si>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</si>
  <si>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Ecuador</t>
  </si>
  <si>
    <t>Egypt</t>
  </si>
  <si>
    <t>El Salvador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</si>
  <si>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</si>
  <si>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</si>
  <si>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</si>
  <si>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</si>
  <si>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</si>
  <si>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</si>
  <si>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</si>
  <si>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</si>
  <si>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</si>
  <si>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</si>
  <si>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</si>
  <si>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</si>
  <si>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</si>
  <si>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</si>
  <si>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</si>
  <si>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</si>
  <si>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</si>
  <si>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</si>
  <si>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</si>
  <si>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</si>
  <si>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</si>
  <si>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</si>
  <si>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</si>
  <si>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</si>
  <si>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</si>
  <si>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</si>
  <si>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</si>
  <si>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</si>
  <si>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</si>
  <si>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</si>
  <si>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</si>
  <si>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</si>
  <si>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</si>
  <si>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</si>
  <si>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</si>
  <si>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</si>
  <si>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</si>
  <si>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</si>
  <si>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</si>
  <si>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</si>
  <si>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</si>
  <si>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</si>
  <si>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</si>
  <si>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</si>
  <si>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</si>
  <si>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</si>
  <si>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</si>
  <si>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</si>
  <si>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</si>
  <si>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</si>
  <si>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</si>
  <si>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</si>
  <si>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</si>
  <si>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</si>
  <si>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</si>
  <si>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</si>
  <si>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</si>
  <si>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</si>
  <si>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</si>
  <si>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</si>
  <si>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</si>
  <si>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</si>
  <si>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</si>
  <si>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</si>
  <si>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</si>
  <si>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</si>
  <si>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</si>
  <si>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</si>
  <si>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</si>
  <si>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</si>
  <si>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</si>
  <si>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</si>
  <si>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</si>
  <si>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</si>
  <si>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</si>
  <si>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</si>
  <si>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</si>
  <si>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</si>
  <si>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</si>
  <si>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</si>
  <si>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</si>
  <si>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</si>
  <si>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</si>
  <si>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</si>
  <si>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</si>
  <si>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</si>
  <si>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</si>
  <si>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</si>
  <si>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</si>
  <si>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</si>
  <si>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</si>
  <si>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</si>
  <si>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</si>
  <si>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</si>
  <si>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</si>
  <si>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</si>
  <si>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</si>
  <si>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</si>
  <si>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</si>
  <si>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</si>
  <si>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</si>
  <si>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</si>
  <si>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</si>
  <si>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</si>
  <si>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</si>
  <si>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</si>
  <si>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</si>
  <si>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</si>
  <si>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</si>
  <si>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</si>
  <si>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</si>
  <si>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</si>
  <si>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</si>
  <si>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</si>
  <si>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</si>
  <si>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</si>
  <si>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</si>
  <si>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</si>
  <si>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</si>
  <si>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</si>
  <si>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</si>
  <si>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</si>
  <si>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</si>
  <si>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</si>
  <si>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</si>
  <si>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</si>
  <si>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</si>
  <si>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</si>
  <si>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</si>
  <si>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</si>
  <si>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</si>
  <si>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Turks and Caicos</t>
  </si>
  <si>
    <t>Uganda</t>
  </si>
  <si>
    <t>Ukraine</t>
  </si>
  <si>
    <t>United Arab Emirates</t>
  </si>
  <si>
    <t>United Kingdom</t>
  </si>
  <si>
    <t>United States Virgin Islands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</si>
  <si>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</si>
  <si>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</si>
  <si>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</si>
  <si>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</si>
  <si>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</si>
  <si>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</si>
  <si>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</si>
  <si>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</si>
  <si>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https://www.eia.gov/international/data/world/natural-gas/dry-natural-gas-production?pd=3002&amp;p=00g&amp;u=0&amp;f=A&amp;v=mapbubble&amp;a=-&amp;i=none&amp;vo=value&amp;t=C&amp;g=00000000000000000000000000000000000000000000000001&amp;l=249-ruvvvvvfvtvnvv1vrvvvvfvvvvvvfvvvou20evvvvvvvvvvnvvvs0008&amp;s=315532800000&amp;e=1672531200000&amp;</t>
  </si>
  <si>
    <t>https://yearbook.enerdata.net/natural-gas/world-natural-gas-production-statistics.html</t>
  </si>
  <si>
    <t>https://www.gecf.org/_resources/files/pages/global-gas-outlook-2050/gecf-global-gas-outlook-20231.pdf</t>
  </si>
  <si>
    <t>2023 (dry natural gas production in bcf)</t>
  </si>
  <si>
    <t>2022 or 2023 (TJ)</t>
  </si>
  <si>
    <t>E (bcm)</t>
  </si>
  <si>
    <t>F (bcm)</t>
  </si>
  <si>
    <t>2022 (bcm)</t>
  </si>
  <si>
    <t>2023 (bcm)</t>
  </si>
  <si>
    <t>2022 or 2023 (bcm)</t>
  </si>
  <si>
    <t>Antartica</t>
  </si>
  <si>
    <t>Brunei</t>
  </si>
  <si>
    <t>Burma</t>
  </si>
  <si>
    <t>Burundi</t>
  </si>
  <si>
    <t xml:space="preserve">Costa Rica </t>
  </si>
  <si>
    <t>Macau</t>
  </si>
  <si>
    <t>Micronesia</t>
  </si>
  <si>
    <t>n.a.</t>
  </si>
  <si>
    <t>Saint Vincent/Grenadines</t>
  </si>
  <si>
    <t>Slovakia</t>
  </si>
  <si>
    <t>Timor-Leste</t>
  </si>
  <si>
    <t>Turks and Caicos Islands</t>
  </si>
  <si>
    <t>Tuvalu</t>
  </si>
  <si>
    <t>U.S. Virgin Islands</t>
  </si>
  <si>
    <t>Wake Island</t>
  </si>
  <si>
    <t>https://ourworldindata.org/grapher/renewable-water-resources-per-capita?tab=table</t>
  </si>
  <si>
    <t>https://data.worldbank.org/indicator/ER.H2O.INTR.PC?end=2021&amp;start=1961&amp;view=chart</t>
  </si>
  <si>
    <t>https://databank.worldbank.org/source/millennium-development-goals/Series/ER.H2O.INTR.PC</t>
  </si>
  <si>
    <t>https://ec.europa.eu/eurostat/statistics-explained/index.php?title=File:Renewable_freshwater_resources_-_long-term_annual_average.png</t>
  </si>
  <si>
    <t>https://data.worldbank.org/indicator/SP.POP.TOTL?end=2014</t>
  </si>
  <si>
    <t>https://ourworldindata.org/grapher/population-with-un-projections?tab=table&amp;time=2021</t>
  </si>
  <si>
    <t>https://worldpopulationreview.com/country-rankings/fresh-water-by-country</t>
  </si>
  <si>
    <t>2021 (cubic meters) PER CAPITA</t>
  </si>
  <si>
    <t>2014 (cubic meters) PER CAPITA</t>
  </si>
  <si>
    <t>Long-term average (million cubic meters)</t>
  </si>
  <si>
    <t>2014 population data</t>
  </si>
  <si>
    <t>2021 population data</t>
  </si>
  <si>
    <t>E*J (cubic meters)</t>
  </si>
  <si>
    <t>F*J (cubic meters)</t>
  </si>
  <si>
    <t>2020 (cubic meters)</t>
  </si>
  <si>
    <t>Turkey</t>
  </si>
  <si>
    <t>https://www.globalccsinstitute.com/wp-content/uploads/2024/01/Global-Status-of-CCS-Report-1.pdf</t>
  </si>
  <si>
    <t>https://ourworldindata.org/grapher/co-emissions-by-sector?tab=table&amp;focus=~Industry</t>
  </si>
  <si>
    <t>https://decarbonization.visualcapitalist.com/visualized-which-countries-capture-the-most-carbon/</t>
  </si>
  <si>
    <t>https://www.iea.org/data-and-statistics/data-tools/ccus-projects-explorer</t>
  </si>
  <si>
    <t>https://www.wri.org/insights/4-charts-explain-greenhouse-gas-emissions-countries-and-sectors</t>
  </si>
  <si>
    <t>2023 (Mtpa)</t>
  </si>
  <si>
    <t>2021 industry carbon dioxide emissions (t)</t>
  </si>
  <si>
    <t>F (Mt)</t>
  </si>
  <si>
    <t>2023 (Mt)</t>
  </si>
  <si>
    <t>2024 (Mt)</t>
  </si>
  <si>
    <t>2019 industrial processes carbon dioxide emissions (Mt)</t>
  </si>
  <si>
    <t>Jordon</t>
  </si>
  <si>
    <t>Liechtenstain</t>
  </si>
  <si>
    <t>Marshall Islands</t>
  </si>
  <si>
    <t>Palau</t>
  </si>
  <si>
    <t>Average</t>
  </si>
  <si>
    <t>unit: cubic meters</t>
  </si>
  <si>
    <t>unit: Mt</t>
  </si>
  <si>
    <t>unit: bcm</t>
  </si>
  <si>
    <t>unit: TWh</t>
  </si>
  <si>
    <t>United States of America</t>
  </si>
  <si>
    <t>Ratio of SD:Average</t>
  </si>
  <si>
    <t/>
  </si>
  <si>
    <t>Dem. Rep. Congo</t>
  </si>
  <si>
    <t>Dominican Rep.</t>
  </si>
  <si>
    <t>Côte d'Ivoire</t>
  </si>
  <si>
    <t>Central African Rep.</t>
  </si>
  <si>
    <t>Eq. Guinea</t>
  </si>
  <si>
    <t>eSwatini</t>
  </si>
  <si>
    <t>Solomon Is.</t>
  </si>
  <si>
    <t>Bosnia and Herz.</t>
  </si>
  <si>
    <t>S. Sudan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</si>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</sst>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5" fillId="0" borderId="2" xfId="0" applyFont="1" applyBorder="1"/>
    <xf numFmtId="0" fontId="6" fillId="0" borderId="1" xfId="0" applyFont="1" applyBorder="1"/>
    <xf numFmtId="0" fontId="2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2" fillId="0" borderId="2" xfId="0" applyFont="1" applyBorder="1"/>
    <xf numFmtId="0" fontId="2" fillId="0" borderId="1" xfId="0" applyFont="1" applyBorder="1"/>
    <xf numFmtId="0" fontId="0" fillId="3" borderId="0" xfId="0" applyFill="1" applyAlignment="1">
      <alignment wrapText="1"/>
    </xf>
    <xf numFmtId="0" fontId="0" fillId="3" borderId="0" xfId="0" applyFill="1" applyAlignment="1">
      <alignment horizontal="right"/>
    </xf>
    <xf numFmtId="3" fontId="1" fillId="0" borderId="0" xfId="0" applyNumberFormat="1" applyFont="1" applyAlignment="1">
      <alignment wrapText="1"/>
    </xf>
    <xf numFmtId="3" fontId="2" fillId="0" borderId="0" xfId="0" applyNumberFormat="1" applyFont="1"/>
    <xf numFmtId="3" fontId="0" fillId="3" borderId="0" xfId="0" applyNumberFormat="1" applyFill="1" applyAlignment="1">
      <alignment horizontal="right"/>
    </xf>
    <xf numFmtId="0" fontId="0" fillId="3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3" fontId="0" fillId="3" borderId="2" xfId="0" applyNumberFormat="1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4" xfId="0" applyFill="1" applyBorder="1" applyAlignment="1">
      <alignment wrapText="1"/>
    </xf>
    <xf numFmtId="0" fontId="0" fillId="3" borderId="1" xfId="0" applyFill="1" applyBorder="1" applyAlignment="1">
      <alignment wrapText="1"/>
    </xf>
    <xf numFmtId="3" fontId="1" fillId="0" borderId="0" xfId="0" applyNumberFormat="1" applyFont="1"/>
    <xf numFmtId="3" fontId="2" fillId="0" borderId="1" xfId="0" applyNumberFormat="1" applyFont="1" applyBorder="1"/>
    <xf numFmtId="0" fontId="0" fillId="0" borderId="0" xfId="0" applyAlignment="1">
      <alignment wrapText="1"/>
    </xf>
    <xf numFmtId="0" fontId="8" fillId="0" borderId="1" xfId="0" applyFont="1" applyBorder="1" applyAlignment="1">
      <alignment wrapText="1"/>
    </xf>
    <xf numFmtId="0" fontId="1" fillId="2" borderId="0" xfId="0" applyFont="1" applyFill="1"/>
    <xf numFmtId="4" fontId="1" fillId="0" borderId="0" xfId="0" applyNumberFormat="1" applyFont="1"/>
    <xf numFmtId="4" fontId="9" fillId="0" borderId="0" xfId="0" applyNumberFormat="1" applyFont="1"/>
    <xf numFmtId="0" fontId="10" fillId="0" borderId="1" xfId="0" applyFont="1" applyBorder="1"/>
    <xf numFmtId="4" fontId="1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1" fillId="4" borderId="0" xfId="0" applyFont="1" applyFill="1"/>
    <xf numFmtId="0" fontId="1" fillId="4" borderId="0" xfId="0" applyFont="1" applyFill="1" applyAlignment="1">
      <alignment wrapText="1"/>
    </xf>
    <xf numFmtId="4" fontId="1" fillId="4" borderId="0" xfId="0" applyNumberFormat="1" applyFont="1" applyFill="1" applyAlignment="1">
      <alignment wrapText="1"/>
    </xf>
    <xf numFmtId="0" fontId="1" fillId="4" borderId="0" xfId="0" applyFont="1" applyFill="1"/>
    <xf numFmtId="11" fontId="1" fillId="0" borderId="0" xfId="0" applyNumberFormat="1" applyFont="1"/>
    <xf numFmtId="3" fontId="1" fillId="4" borderId="0" xfId="0" applyNumberFormat="1" applyFont="1" applyFill="1"/>
    <xf numFmtId="3" fontId="1" fillId="4" borderId="0" xfId="0" applyNumberFormat="1" applyFont="1" applyFill="1" applyAlignment="1">
      <alignment wrapText="1"/>
    </xf>
    <xf numFmtId="4" fontId="1" fillId="4" borderId="0" xfId="0" applyNumberFormat="1" applyFont="1" applyFill="1"/>
    <xf numFmtId="0" fontId="2" fillId="0" borderId="1" xfId="0" applyFont="1" applyBorder="1" applyAlignment="1">
      <alignment wrapText="1"/>
    </xf>
    <xf numFmtId="0" fontId="13" fillId="3" borderId="1" xfId="0" applyFont="1" applyFill="1" applyBorder="1" applyAlignment="1">
      <alignment wrapText="1"/>
    </xf>
    <xf numFmtId="11" fontId="1" fillId="2" borderId="0" xfId="0" applyNumberFormat="1" applyFont="1" applyFill="1"/>
    <xf numFmtId="4" fontId="7" fillId="2" borderId="0" xfId="0" applyNumberFormat="1" applyFont="1" applyFill="1" applyAlignment="1">
      <alignment wrapText="1"/>
    </xf>
    <xf numFmtId="11" fontId="1" fillId="2" borderId="0" xfId="0" applyNumberFormat="1" applyFont="1" applyFill="1" applyAlignment="1">
      <alignment wrapText="1"/>
    </xf>
    <xf numFmtId="0" fontId="13" fillId="0" borderId="1" xfId="0" applyFont="1" applyBorder="1" applyAlignment="1">
      <alignment wrapText="1"/>
    </xf>
    <xf numFmtId="0" fontId="1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urworldindata.org/grapher/population-with-un-projections?tab=table&amp;time=2023" TargetMode="External"/><Relationship Id="rId2" Type="http://schemas.openxmlformats.org/officeDocument/2006/relationships/hyperlink" Target="https://ourworldindata.org/electricity-mix" TargetMode="External"/><Relationship Id="rId1" Type="http://schemas.openxmlformats.org/officeDocument/2006/relationships/hyperlink" Target="https://www.iea.org/countries" TargetMode="External"/><Relationship Id="rId5" Type="http://schemas.openxmlformats.org/officeDocument/2006/relationships/hyperlink" Target="https://yearbook.enerdata.net/natural-gas/world-natural-gas-production-statistics.html" TargetMode="External"/><Relationship Id="rId4" Type="http://schemas.openxmlformats.org/officeDocument/2006/relationships/hyperlink" Target="https://yearbook.enerdata.net/natural-gas/world-natural-gas-production-statistics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earbook.enerdata.net/natural-gas/world-natural-gas-production-statistics.html" TargetMode="External"/><Relationship Id="rId2" Type="http://schemas.openxmlformats.org/officeDocument/2006/relationships/hyperlink" Target="https://www.iea.org/countries" TargetMode="External"/><Relationship Id="rId1" Type="http://schemas.openxmlformats.org/officeDocument/2006/relationships/hyperlink" Target="https://www.eia.gov/international/data/world/natural-gas/dry-natural-gas-production?pd=3002&amp;p=00g&amp;u=0&amp;f=A&amp;v=mapbubble&amp;a=-&amp;i=none&amp;vo=value&amp;t=C&amp;g=00000000000000000000000000000000000000000000000001&amp;l=249-ruvvvvvfvtvnvv1vrvvvvfvvvvvvfvvvou20evvvvvvvvvvnvvvs0008&amp;s=315532800000&amp;e=1672531200000&amp;" TargetMode="External"/><Relationship Id="rId5" Type="http://schemas.openxmlformats.org/officeDocument/2006/relationships/hyperlink" Target="https://www.gecf.org/_resources/files/pages/global-gas-outlook-2050/gecf-global-gas-outlook-20231.pdf" TargetMode="External"/><Relationship Id="rId4" Type="http://schemas.openxmlformats.org/officeDocument/2006/relationships/hyperlink" Target="https://yearbook.enerdata.net/natural-gas/world-natural-gas-production-statistic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ank.worldbank.org/source/millennium-development-goals/Series/ER.H2O.INTR.PC" TargetMode="External"/><Relationship Id="rId7" Type="http://schemas.openxmlformats.org/officeDocument/2006/relationships/hyperlink" Target="https://worldpopulationreview.com/country-rankings/fresh-water-by-country" TargetMode="External"/><Relationship Id="rId2" Type="http://schemas.openxmlformats.org/officeDocument/2006/relationships/hyperlink" Target="https://data.worldbank.org/indicator/ER.H2O.INTR.PC?end=2021&amp;start=1961&amp;view=chart" TargetMode="External"/><Relationship Id="rId1" Type="http://schemas.openxmlformats.org/officeDocument/2006/relationships/hyperlink" Target="https://ourworldindata.org/grapher/renewable-water-resources-per-capita?tab=table" TargetMode="External"/><Relationship Id="rId6" Type="http://schemas.openxmlformats.org/officeDocument/2006/relationships/hyperlink" Target="https://ourworldindata.org/grapher/population-with-un-projections?tab=table&amp;time=2021" TargetMode="External"/><Relationship Id="rId5" Type="http://schemas.openxmlformats.org/officeDocument/2006/relationships/hyperlink" Target="https://data.worldbank.org/indicator/SP.POP.TOTL?end=2014" TargetMode="External"/><Relationship Id="rId4" Type="http://schemas.openxmlformats.org/officeDocument/2006/relationships/hyperlink" Target="https://ec.europa.eu/eurostat/statistics-explained/index.php?title=File:Renewable_freshwater_resources_-_long-term_annual_average.pn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ecarbonization.visualcapitalist.com/visualized-which-countries-capture-the-most-carbon/" TargetMode="External"/><Relationship Id="rId2" Type="http://schemas.openxmlformats.org/officeDocument/2006/relationships/hyperlink" Target="https://ourworldindata.org/grapher/co-emissions-by-sector?tab=table&amp;focus=~Industry" TargetMode="External"/><Relationship Id="rId1" Type="http://schemas.openxmlformats.org/officeDocument/2006/relationships/hyperlink" Target="https://www.globalccsinstitute.com/wp-content/uploads/2024/01/Global-Status-of-CCS-Report-1.pdf" TargetMode="External"/><Relationship Id="rId5" Type="http://schemas.openxmlformats.org/officeDocument/2006/relationships/hyperlink" Target="https://www.wri.org/insights/4-charts-explain-greenhouse-gas-emissions-countries-and-sectors" TargetMode="External"/><Relationship Id="rId4" Type="http://schemas.openxmlformats.org/officeDocument/2006/relationships/hyperlink" Target="https://www.iea.org/data-and-statistics/data-tools/ccus-projects-explor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156"/>
  <sheetViews>
    <sheetView topLeftCell="A17" workbookViewId="0">
      <selection activeCell="B92" sqref="B92"/>
    </sheetView>
  </sheetViews>
  <sheetFormatPr baseColWidth="10" defaultColWidth="12.6640625" defaultRowHeight="15.75" customHeight="1" x14ac:dyDescent="0.15"/>
  <cols>
    <col min="22" max="22" width="15.5" customWidth="1"/>
  </cols>
  <sheetData>
    <row r="1" spans="1:22" ht="40" customHeight="1" x14ac:dyDescent="0.15">
      <c r="A1" s="50" t="s">
        <v>287</v>
      </c>
      <c r="B1" s="11" t="s">
        <v>270</v>
      </c>
      <c r="C1" s="11" t="s">
        <v>5</v>
      </c>
      <c r="D1" s="11" t="s">
        <v>276</v>
      </c>
      <c r="E1" s="3"/>
      <c r="F1" s="51" t="s">
        <v>0</v>
      </c>
      <c r="G1" s="4" t="s">
        <v>1</v>
      </c>
      <c r="I1" s="5" t="s">
        <v>2</v>
      </c>
      <c r="J1" s="6"/>
      <c r="K1" s="7"/>
      <c r="M1" s="8" t="s">
        <v>3</v>
      </c>
      <c r="N1" s="9" t="s">
        <v>4</v>
      </c>
      <c r="S1" s="3"/>
      <c r="T1" s="3"/>
      <c r="U1" s="3"/>
      <c r="V1" s="10"/>
    </row>
    <row r="2" spans="1:22" ht="57" customHeight="1" x14ac:dyDescent="0.15">
      <c r="A2" s="1"/>
      <c r="E2" s="7" t="s">
        <v>274</v>
      </c>
      <c r="F2" s="10" t="s">
        <v>6</v>
      </c>
      <c r="G2" s="7" t="s">
        <v>7</v>
      </c>
      <c r="I2" s="6" t="s">
        <v>8</v>
      </c>
      <c r="J2" s="7"/>
      <c r="K2" s="7" t="s">
        <v>9</v>
      </c>
      <c r="L2" s="6" t="s">
        <v>10</v>
      </c>
      <c r="M2" s="12" t="s">
        <v>11</v>
      </c>
      <c r="N2" s="13" t="s">
        <v>12</v>
      </c>
      <c r="S2" s="3"/>
      <c r="T2" s="3"/>
      <c r="U2" s="3"/>
      <c r="V2" s="3"/>
    </row>
    <row r="3" spans="1:22" ht="15.75" customHeight="1" x14ac:dyDescent="0.15">
      <c r="A3" s="14" t="s">
        <v>13</v>
      </c>
      <c r="B3" s="2">
        <f t="shared" ref="B3:B214" si="0">IF(COUNTA(K3:N3) = 0, "", IFERROR(AVERAGEIF(K3:N3, "&lt;&gt;"), ""))</f>
        <v>0.82909524000000001</v>
      </c>
      <c r="C3" s="2" t="str">
        <f ca="1">IFERROR(__xludf.DUMMYFUNCTION("IFERROR(STDEV.S(FILTER(J4:M4, J4:M4&lt;&gt;"""")))"),"")</f>
        <v/>
      </c>
      <c r="D3" s="47">
        <v>0</v>
      </c>
      <c r="E3" s="3"/>
      <c r="F3" s="3"/>
      <c r="G3" s="16">
        <v>20</v>
      </c>
      <c r="I3" s="6">
        <v>41454762</v>
      </c>
      <c r="J3" s="7"/>
      <c r="K3" s="7" t="str">
        <f t="shared" ref="K3:K214" si="1">IF(ISBLANK(F3), "", F3 * 0.001)</f>
        <v/>
      </c>
      <c r="L3" s="6">
        <f t="shared" ref="L3:L214" si="2">IF(OR(ISBLANK(G3), ISBLANK(I3)), "", G3 * I3 * 0.000000001)</f>
        <v>0.82909524000000001</v>
      </c>
      <c r="M3" s="15"/>
      <c r="N3" s="15"/>
      <c r="S3" s="3"/>
      <c r="T3" s="3"/>
      <c r="U3" s="3"/>
      <c r="V3" s="3"/>
    </row>
    <row r="4" spans="1:22" ht="15.75" customHeight="1" x14ac:dyDescent="0.15">
      <c r="A4" s="14" t="s">
        <v>14</v>
      </c>
      <c r="B4" s="2">
        <f t="shared" si="0"/>
        <v>6.9635592900000001</v>
      </c>
      <c r="C4" s="2">
        <f ca="1">IFERROR(__xludf.DUMMYFUNCTION("IFERROR(STDEV.S(FILTER(J5:M5, J5:M5&lt;&gt;"""")))"),0.0543633734292506)</f>
        <v>5.43633734292506E-2</v>
      </c>
      <c r="D4" s="47">
        <v>7.8068371599999999E-3</v>
      </c>
      <c r="E4" s="3"/>
      <c r="F4" s="3">
        <v>7002</v>
      </c>
      <c r="G4" s="16">
        <v>2463</v>
      </c>
      <c r="I4" s="6">
        <v>2811660</v>
      </c>
      <c r="J4" s="7"/>
      <c r="K4" s="7">
        <f t="shared" si="1"/>
        <v>7.0019999999999998</v>
      </c>
      <c r="L4" s="6">
        <f t="shared" si="2"/>
        <v>6.9251185800000004</v>
      </c>
      <c r="M4" s="15"/>
      <c r="N4" s="15"/>
      <c r="S4" s="3"/>
      <c r="T4" s="3"/>
      <c r="U4" s="3"/>
      <c r="V4" s="3"/>
    </row>
    <row r="5" spans="1:22" ht="15.75" customHeight="1" x14ac:dyDescent="0.15">
      <c r="A5" s="14" t="s">
        <v>15</v>
      </c>
      <c r="B5" s="2">
        <f t="shared" si="0"/>
        <v>92.224382511000002</v>
      </c>
      <c r="C5" s="2">
        <f ca="1">IFERROR(__xludf.DUMMYFUNCTION("IFERROR(STDEV.S(FILTER(J6:M6, J6:M6&lt;&gt;"""")))"),2.52772051979538)</f>
        <v>2.52772051979538</v>
      </c>
      <c r="D5" s="47">
        <v>2.740837565E-2</v>
      </c>
      <c r="E5" s="3"/>
      <c r="F5" s="3">
        <v>91231</v>
      </c>
      <c r="G5" s="16">
        <v>1964</v>
      </c>
      <c r="I5" s="6">
        <v>46164221</v>
      </c>
      <c r="J5" s="7"/>
      <c r="K5" s="7">
        <f t="shared" si="1"/>
        <v>91.231000000000009</v>
      </c>
      <c r="L5" s="6">
        <f t="shared" si="2"/>
        <v>90.666530044000012</v>
      </c>
      <c r="M5" s="15">
        <v>96</v>
      </c>
      <c r="N5" s="15">
        <v>91</v>
      </c>
      <c r="S5" s="3"/>
      <c r="T5" s="3"/>
      <c r="U5" s="3"/>
      <c r="V5" s="3"/>
    </row>
    <row r="6" spans="1:22" ht="15.75" customHeight="1" x14ac:dyDescent="0.15">
      <c r="A6" s="14" t="s">
        <v>16</v>
      </c>
      <c r="B6" s="2">
        <f t="shared" si="0"/>
        <v>0.19321475200000002</v>
      </c>
      <c r="C6" s="2" t="str">
        <f ca="1">IFERROR(__xludf.DUMMYFUNCTION("IFERROR(STDEV.S(FILTER(J8:M8, J8:M8&lt;&gt;"""")))"),"")</f>
        <v/>
      </c>
      <c r="D6" s="47">
        <v>0</v>
      </c>
      <c r="E6" s="3"/>
      <c r="F6" s="3"/>
      <c r="G6" s="16">
        <v>4064</v>
      </c>
      <c r="I6" s="6">
        <v>47543</v>
      </c>
      <c r="J6" s="7"/>
      <c r="K6" s="7" t="str">
        <f t="shared" si="1"/>
        <v/>
      </c>
      <c r="L6" s="6">
        <f t="shared" si="2"/>
        <v>0.19321475200000002</v>
      </c>
      <c r="M6" s="19"/>
      <c r="N6" s="15"/>
      <c r="S6" s="3"/>
      <c r="T6" s="3"/>
      <c r="U6" s="3"/>
      <c r="V6" s="3"/>
    </row>
    <row r="7" spans="1:22" ht="15.75" customHeight="1" x14ac:dyDescent="0.15">
      <c r="A7" s="14" t="s">
        <v>17</v>
      </c>
      <c r="B7" s="2" t="str">
        <f t="shared" si="0"/>
        <v/>
      </c>
      <c r="C7" s="2" t="str">
        <f ca="1">IFERROR(__xludf.DUMMYFUNCTION("IFERROR(STDEV.S(FILTER(J9:M9, J9:M9&lt;&gt;"""")))"),"")</f>
        <v/>
      </c>
      <c r="D7" s="47" t="s">
        <v>277</v>
      </c>
      <c r="E7" s="3"/>
      <c r="F7" s="3"/>
      <c r="G7" s="16"/>
      <c r="I7" s="6">
        <v>80868</v>
      </c>
      <c r="J7" s="7"/>
      <c r="K7" s="7" t="str">
        <f t="shared" si="1"/>
        <v/>
      </c>
      <c r="L7" s="6" t="str">
        <f t="shared" si="2"/>
        <v/>
      </c>
      <c r="M7" s="19"/>
      <c r="N7" s="15"/>
      <c r="S7" s="3"/>
      <c r="T7" s="3"/>
      <c r="U7" s="3"/>
      <c r="V7" s="3"/>
    </row>
    <row r="8" spans="1:22" ht="15.75" customHeight="1" x14ac:dyDescent="0.15">
      <c r="A8" s="14" t="s">
        <v>18</v>
      </c>
      <c r="B8" s="2">
        <f t="shared" si="0"/>
        <v>16.627977866000002</v>
      </c>
      <c r="C8" s="2">
        <f ca="1">IFERROR(__xludf.DUMMYFUNCTION("IFERROR(STDEV.S(FILTER(J10:M10, J10:M10&lt;&gt;"""")))"),1.22326342924973)</f>
        <v>1.22326342924973</v>
      </c>
      <c r="D8" s="47">
        <v>7.3566577920000001E-2</v>
      </c>
      <c r="E8" s="3"/>
      <c r="F8" s="3">
        <v>15763</v>
      </c>
      <c r="G8" s="16">
        <v>476</v>
      </c>
      <c r="I8" s="6">
        <v>36749907</v>
      </c>
      <c r="J8" s="7"/>
      <c r="K8" s="7">
        <f t="shared" si="1"/>
        <v>15.763</v>
      </c>
      <c r="L8" s="6">
        <f t="shared" si="2"/>
        <v>17.492955732000002</v>
      </c>
      <c r="M8" s="19"/>
      <c r="N8" s="15"/>
      <c r="S8" s="3"/>
      <c r="T8" s="3"/>
      <c r="U8" s="3"/>
      <c r="V8" s="3"/>
    </row>
    <row r="9" spans="1:22" ht="15.75" customHeight="1" x14ac:dyDescent="0.15">
      <c r="A9" s="14" t="s">
        <v>19</v>
      </c>
      <c r="B9" s="2" t="str">
        <f t="shared" si="0"/>
        <v/>
      </c>
      <c r="C9" s="2" t="str">
        <f ca="1">IFERROR(__xludf.DUMMYFUNCTION("IFERROR(STDEV.S(FILTER(J11:M11, J11:M11&lt;&gt;"""")))"),"")</f>
        <v/>
      </c>
      <c r="D9" s="47" t="s">
        <v>277</v>
      </c>
      <c r="E9" s="3"/>
      <c r="F9" s="3"/>
      <c r="G9" s="16"/>
      <c r="I9" s="6">
        <v>14435</v>
      </c>
      <c r="J9" s="7"/>
      <c r="K9" s="7" t="str">
        <f t="shared" si="1"/>
        <v/>
      </c>
      <c r="L9" s="6" t="str">
        <f t="shared" si="2"/>
        <v/>
      </c>
      <c r="M9" s="19"/>
      <c r="N9" s="15"/>
      <c r="S9" s="3"/>
      <c r="T9" s="3"/>
      <c r="U9" s="3"/>
      <c r="V9" s="3"/>
    </row>
    <row r="10" spans="1:22" ht="15.75" customHeight="1" x14ac:dyDescent="0.15">
      <c r="A10" s="14" t="s">
        <v>20</v>
      </c>
      <c r="B10" s="2">
        <f t="shared" si="0"/>
        <v>0.35830538700000003</v>
      </c>
      <c r="C10" s="2" t="str">
        <f ca="1">IFERROR(__xludf.DUMMYFUNCTION("IFERROR(STDEV.S(FILTER(J12:M12, J12:M12&lt;&gt;"""")))"),"")</f>
        <v/>
      </c>
      <c r="D10" s="47">
        <v>0</v>
      </c>
      <c r="E10" s="3"/>
      <c r="F10" s="3"/>
      <c r="G10" s="16">
        <v>3839</v>
      </c>
      <c r="I10" s="6">
        <v>93333</v>
      </c>
      <c r="J10" s="7"/>
      <c r="K10" s="7" t="str">
        <f t="shared" si="1"/>
        <v/>
      </c>
      <c r="L10" s="6">
        <f t="shared" si="2"/>
        <v>0.35830538700000003</v>
      </c>
      <c r="M10" s="19"/>
      <c r="N10" s="15"/>
      <c r="S10" s="3"/>
      <c r="T10" s="3"/>
      <c r="U10" s="3"/>
      <c r="V10" s="3"/>
    </row>
    <row r="11" spans="1:22" ht="15.75" customHeight="1" x14ac:dyDescent="0.15">
      <c r="A11" s="14" t="s">
        <v>21</v>
      </c>
      <c r="B11" s="2">
        <f t="shared" si="0"/>
        <v>148.322430876</v>
      </c>
      <c r="C11" s="2">
        <f ca="1">IFERROR(__xludf.DUMMYFUNCTION("IFERROR(STDEV.S(FILTER(J13:M13, J13:M13&lt;&gt;"""")))"),3.25082731774634)</f>
        <v>3.25082731774634</v>
      </c>
      <c r="D11" s="47">
        <v>2.19173007E-2</v>
      </c>
      <c r="E11" s="3"/>
      <c r="F11" s="3">
        <v>145645</v>
      </c>
      <c r="G11" s="16">
        <v>3352</v>
      </c>
      <c r="I11" s="6">
        <v>45538402</v>
      </c>
      <c r="J11" s="7"/>
      <c r="K11" s="7">
        <f t="shared" si="1"/>
        <v>145.64500000000001</v>
      </c>
      <c r="L11" s="6">
        <f t="shared" si="2"/>
        <v>152.64472350400001</v>
      </c>
      <c r="M11" s="19">
        <v>149</v>
      </c>
      <c r="N11" s="20">
        <v>146</v>
      </c>
      <c r="S11" s="3"/>
      <c r="T11" s="3"/>
      <c r="U11" s="3"/>
      <c r="V11" s="3"/>
    </row>
    <row r="12" spans="1:22" ht="15.75" customHeight="1" x14ac:dyDescent="0.15">
      <c r="A12" s="14" t="s">
        <v>22</v>
      </c>
      <c r="B12" s="2">
        <f t="shared" si="0"/>
        <v>9.2367339150000003</v>
      </c>
      <c r="C12" s="2">
        <f ca="1">IFERROR(__xludf.DUMMYFUNCTION("IFERROR(STDEV.S(FILTER(J14:M14, J14:M14&lt;&gt;"""")))"),0.0660917364157925)</f>
        <v>6.6091736415792496E-2</v>
      </c>
      <c r="D12" s="47">
        <v>7.1553145330000003E-3</v>
      </c>
      <c r="E12" s="17"/>
      <c r="F12" s="17">
        <v>9190</v>
      </c>
      <c r="G12" s="16">
        <v>3154</v>
      </c>
      <c r="I12" s="6">
        <v>2943395</v>
      </c>
      <c r="J12" s="7"/>
      <c r="K12" s="7">
        <f t="shared" si="1"/>
        <v>9.19</v>
      </c>
      <c r="L12" s="6">
        <f t="shared" si="2"/>
        <v>9.2834678300000011</v>
      </c>
      <c r="M12" s="21"/>
      <c r="N12" s="22"/>
      <c r="S12" s="3"/>
      <c r="T12" s="3"/>
      <c r="U12" s="3"/>
      <c r="V12" s="3"/>
    </row>
    <row r="13" spans="1:22" ht="15.75" customHeight="1" x14ac:dyDescent="0.15">
      <c r="A13" s="14" t="s">
        <v>23</v>
      </c>
      <c r="B13" s="2">
        <f t="shared" si="0"/>
        <v>0.99364293000000004</v>
      </c>
      <c r="C13" s="2" t="str">
        <f ca="1">IFERROR(__xludf.DUMMYFUNCTION("IFERROR(STDEV.S(FILTER(J15:M15, J15:M15&lt;&gt;"""")))"),"")</f>
        <v/>
      </c>
      <c r="D13" s="47">
        <v>0</v>
      </c>
      <c r="E13" s="17"/>
      <c r="F13" s="17"/>
      <c r="G13" s="16">
        <v>9205</v>
      </c>
      <c r="I13" s="6">
        <v>107946</v>
      </c>
      <c r="J13" s="7"/>
      <c r="K13" s="7" t="str">
        <f t="shared" si="1"/>
        <v/>
      </c>
      <c r="L13" s="6">
        <f t="shared" si="2"/>
        <v>0.99364293000000004</v>
      </c>
      <c r="M13" s="21"/>
      <c r="N13" s="22"/>
      <c r="S13" s="3"/>
      <c r="T13" s="3"/>
      <c r="U13" s="3"/>
      <c r="V13" s="3"/>
    </row>
    <row r="14" spans="1:22" ht="15.75" customHeight="1" x14ac:dyDescent="0.15">
      <c r="A14" s="25" t="s">
        <v>24</v>
      </c>
      <c r="B14" s="2">
        <f t="shared" si="0"/>
        <v>273.6215892555</v>
      </c>
      <c r="C14" s="2">
        <f ca="1">IFERROR(__xludf.DUMMYFUNCTION("IFERROR(STDEV.S(FILTER(J18:M18, J18:M18&lt;&gt;"""")))"),1.37559247523634)</f>
        <v>1.37559247523634</v>
      </c>
      <c r="D14" s="47">
        <v>5.0273535760000003E-3</v>
      </c>
      <c r="E14" s="3"/>
      <c r="F14" s="3">
        <v>274474</v>
      </c>
      <c r="G14" s="16">
        <v>10397</v>
      </c>
      <c r="I14" s="6">
        <v>26451126</v>
      </c>
      <c r="J14" s="7"/>
      <c r="K14" s="7">
        <f t="shared" si="1"/>
        <v>274.47399999999999</v>
      </c>
      <c r="L14" s="6">
        <f t="shared" si="2"/>
        <v>275.012357022</v>
      </c>
      <c r="M14" s="23">
        <v>273</v>
      </c>
      <c r="N14" s="24">
        <v>272</v>
      </c>
    </row>
    <row r="15" spans="1:22" ht="15.75" customHeight="1" x14ac:dyDescent="0.15">
      <c r="A15" s="26" t="s">
        <v>25</v>
      </c>
      <c r="B15" s="2">
        <f t="shared" si="0"/>
        <v>71.195931857999994</v>
      </c>
      <c r="C15" s="2">
        <f ca="1">IFERROR(__xludf.DUMMYFUNCTION("IFERROR(STDEV.S(FILTER(J19:M19, J19:M19&lt;&gt;"""")))"),4.17909744415305)</f>
        <v>4.17909744415305</v>
      </c>
      <c r="D15" s="47">
        <v>5.8698542669999999E-2</v>
      </c>
      <c r="E15" s="3"/>
      <c r="F15" s="3">
        <v>74151</v>
      </c>
      <c r="G15" s="16">
        <v>7474</v>
      </c>
      <c r="I15" s="6">
        <v>9130434</v>
      </c>
      <c r="J15" s="7"/>
      <c r="K15" s="7">
        <f t="shared" si="1"/>
        <v>74.150999999999996</v>
      </c>
      <c r="L15" s="6">
        <f t="shared" si="2"/>
        <v>68.240863716000007</v>
      </c>
      <c r="M15" s="23"/>
      <c r="N15" s="24"/>
    </row>
    <row r="16" spans="1:22" ht="15.75" customHeight="1" x14ac:dyDescent="0.15">
      <c r="A16" s="26" t="s">
        <v>26</v>
      </c>
      <c r="B16" s="2">
        <f t="shared" si="0"/>
        <v>28.967019685</v>
      </c>
      <c r="C16" s="2">
        <f ca="1">IFERROR(__xludf.DUMMYFUNCTION("IFERROR(STDEV.S(FILTER(J20:M20, J20:M20&lt;&gt;"""")))"),0.0937803682547504)</f>
        <v>9.3780368254750404E-2</v>
      </c>
      <c r="D16" s="47">
        <v>3.2374876419999999E-3</v>
      </c>
      <c r="E16" s="3"/>
      <c r="F16" s="3">
        <v>29039</v>
      </c>
      <c r="G16" s="16">
        <v>2794</v>
      </c>
      <c r="I16" s="6">
        <v>10318210</v>
      </c>
      <c r="J16" s="7"/>
      <c r="K16" s="7">
        <f t="shared" si="1"/>
        <v>29.039000000000001</v>
      </c>
      <c r="L16" s="6">
        <f t="shared" si="2"/>
        <v>28.829078740000003</v>
      </c>
      <c r="M16" s="23">
        <v>29</v>
      </c>
      <c r="N16" s="24">
        <v>29</v>
      </c>
    </row>
    <row r="17" spans="1:14" ht="15.75" customHeight="1" x14ac:dyDescent="0.15">
      <c r="A17" s="26" t="s">
        <v>27</v>
      </c>
      <c r="B17" s="2">
        <f t="shared" si="0"/>
        <v>1.9776868520000002</v>
      </c>
      <c r="C17" s="2" t="str">
        <f ca="1">IFERROR(__xludf.DUMMYFUNCTION("IFERROR(STDEV.S(FILTER(J21:M21, J21:M21&lt;&gt;"""")))"),"")</f>
        <v/>
      </c>
      <c r="D17" s="47">
        <v>0</v>
      </c>
      <c r="E17" s="3"/>
      <c r="F17" s="3"/>
      <c r="G17" s="16">
        <v>4951</v>
      </c>
      <c r="I17" s="6">
        <v>399452</v>
      </c>
      <c r="J17" s="7"/>
      <c r="K17" s="7" t="str">
        <f t="shared" si="1"/>
        <v/>
      </c>
      <c r="L17" s="6">
        <f t="shared" si="2"/>
        <v>1.9776868520000002</v>
      </c>
      <c r="M17" s="23"/>
      <c r="N17" s="24"/>
    </row>
    <row r="18" spans="1:14" ht="15.75" customHeight="1" x14ac:dyDescent="0.15">
      <c r="A18" s="26" t="s">
        <v>28</v>
      </c>
      <c r="B18" s="2">
        <f t="shared" si="0"/>
        <v>36.769465179999997</v>
      </c>
      <c r="C18" s="2">
        <f ca="1">IFERROR(__xludf.DUMMYFUNCTION("IFERROR(STDEV.S(FILTER(J22:M22, J22:M22&lt;&gt;"""")))"),1.58740548084756)</f>
        <v>1.5874054808475599</v>
      </c>
      <c r="D18" s="47">
        <v>4.3171840359999998E-2</v>
      </c>
      <c r="E18" s="3"/>
      <c r="F18" s="3">
        <v>35647</v>
      </c>
      <c r="G18" s="16">
        <v>24140</v>
      </c>
      <c r="I18" s="6">
        <v>1569674</v>
      </c>
      <c r="J18" s="7"/>
      <c r="K18" s="7">
        <f t="shared" si="1"/>
        <v>35.646999999999998</v>
      </c>
      <c r="L18" s="6">
        <f t="shared" si="2"/>
        <v>37.891930360000003</v>
      </c>
      <c r="M18" s="23"/>
      <c r="N18" s="24"/>
    </row>
    <row r="19" spans="1:14" ht="15.75" customHeight="1" x14ac:dyDescent="0.15">
      <c r="A19" s="26" t="s">
        <v>29</v>
      </c>
      <c r="B19" s="2">
        <f t="shared" si="0"/>
        <v>101.75676086999999</v>
      </c>
      <c r="C19" s="2">
        <f ca="1">IFERROR(__xludf.DUMMYFUNCTION("IFERROR(STDEV.S(FILTER(J23:M23, J23:M23&lt;&gt;"""")))"),0.836138396251661)</f>
        <v>0.83613839625166098</v>
      </c>
      <c r="D19" s="47">
        <v>8.2170303880000004E-3</v>
      </c>
      <c r="E19" s="3"/>
      <c r="F19" s="3">
        <v>102348</v>
      </c>
      <c r="G19" s="16">
        <v>590</v>
      </c>
      <c r="I19" s="6">
        <v>171466986</v>
      </c>
      <c r="J19" s="7"/>
      <c r="K19" s="7">
        <f t="shared" si="1"/>
        <v>102.348</v>
      </c>
      <c r="L19" s="6">
        <f t="shared" si="2"/>
        <v>101.16552174</v>
      </c>
      <c r="M19" s="23"/>
      <c r="N19" s="24"/>
    </row>
    <row r="20" spans="1:14" ht="15.75" customHeight="1" x14ac:dyDescent="0.15">
      <c r="A20" s="26" t="s">
        <v>30</v>
      </c>
      <c r="B20" s="2">
        <f t="shared" si="0"/>
        <v>1.0926867600000001</v>
      </c>
      <c r="C20" s="2" t="str">
        <f ca="1">IFERROR(__xludf.DUMMYFUNCTION("IFERROR(STDEV.S(FILTER(J24:M24, J24:M24&lt;&gt;"""")))"),"")</f>
        <v/>
      </c>
      <c r="D20" s="47">
        <v>0</v>
      </c>
      <c r="E20" s="3"/>
      <c r="F20" s="3"/>
      <c r="G20" s="16">
        <v>3870</v>
      </c>
      <c r="I20" s="6">
        <v>282348</v>
      </c>
      <c r="J20" s="7"/>
      <c r="K20" s="7" t="str">
        <f t="shared" si="1"/>
        <v/>
      </c>
      <c r="L20" s="6">
        <f t="shared" si="2"/>
        <v>1.0926867600000001</v>
      </c>
      <c r="M20" s="23"/>
      <c r="N20" s="24"/>
    </row>
    <row r="21" spans="1:14" ht="15.75" customHeight="1" x14ac:dyDescent="0.15">
      <c r="A21" s="26" t="s">
        <v>31</v>
      </c>
      <c r="B21" s="2">
        <f t="shared" si="0"/>
        <v>38.159252000000002</v>
      </c>
      <c r="C21" s="2">
        <f ca="1">IFERROR(__xludf.DUMMYFUNCTION("IFERROR(STDEV.S(FILTER(J25:M25, J25:M25&lt;&gt;"""")))"),1.75468264908728)</f>
        <v>1.75468264908728</v>
      </c>
      <c r="D21" s="47">
        <v>4.5983151059999998E-2</v>
      </c>
      <c r="E21" s="3"/>
      <c r="F21" s="3">
        <v>39400</v>
      </c>
      <c r="G21" s="16">
        <v>4050</v>
      </c>
      <c r="I21" s="6">
        <v>9115680</v>
      </c>
      <c r="J21" s="7"/>
      <c r="K21" s="7">
        <f t="shared" si="1"/>
        <v>39.4</v>
      </c>
      <c r="L21" s="6">
        <f t="shared" si="2"/>
        <v>36.918504000000006</v>
      </c>
      <c r="M21" s="23"/>
      <c r="N21" s="24"/>
    </row>
    <row r="22" spans="1:14" ht="15.75" customHeight="1" x14ac:dyDescent="0.15">
      <c r="A22" s="26" t="s">
        <v>32</v>
      </c>
      <c r="B22" s="2">
        <f t="shared" si="0"/>
        <v>85.759153898500003</v>
      </c>
      <c r="C22" s="2">
        <f ca="1">IFERROR(__xludf.DUMMYFUNCTION("IFERROR(STDEV.S(FILTER(J26:M26, J26:M26&lt;&gt;"""")))"),6.83183579417911)</f>
        <v>6.8318357941791099</v>
      </c>
      <c r="D22" s="47">
        <v>7.966305034E-2</v>
      </c>
      <c r="E22" s="3"/>
      <c r="F22" s="3">
        <v>82449</v>
      </c>
      <c r="G22" s="16">
        <v>7051</v>
      </c>
      <c r="I22" s="6">
        <v>11712894</v>
      </c>
      <c r="J22" s="7"/>
      <c r="K22" s="7">
        <f t="shared" si="1"/>
        <v>82.448999999999998</v>
      </c>
      <c r="L22" s="6">
        <f t="shared" si="2"/>
        <v>82.587615593999999</v>
      </c>
      <c r="M22" s="23">
        <v>82</v>
      </c>
      <c r="N22" s="24">
        <v>96</v>
      </c>
    </row>
    <row r="23" spans="1:14" ht="15.75" customHeight="1" x14ac:dyDescent="0.15">
      <c r="A23" s="26" t="s">
        <v>33</v>
      </c>
      <c r="B23" s="2">
        <f t="shared" si="0"/>
        <v>0.31450297500000002</v>
      </c>
      <c r="C23" s="2" t="str">
        <f ca="1">IFERROR(__xludf.DUMMYFUNCTION("IFERROR(STDEV.S(FILTER(J27:M27, J27:M27&lt;&gt;"""")))"),"")</f>
        <v/>
      </c>
      <c r="D23" s="47">
        <v>0</v>
      </c>
      <c r="E23" s="3"/>
      <c r="F23" s="3"/>
      <c r="G23" s="16">
        <v>765</v>
      </c>
      <c r="I23" s="6">
        <v>411115</v>
      </c>
      <c r="J23" s="7"/>
      <c r="K23" s="7" t="str">
        <f t="shared" si="1"/>
        <v/>
      </c>
      <c r="L23" s="6">
        <f t="shared" si="2"/>
        <v>0.31450297500000002</v>
      </c>
      <c r="M23" s="23"/>
      <c r="N23" s="24"/>
    </row>
    <row r="24" spans="1:14" ht="15.75" customHeight="1" x14ac:dyDescent="0.15">
      <c r="A24" s="26" t="s">
        <v>34</v>
      </c>
      <c r="B24" s="2">
        <f t="shared" si="0"/>
        <v>0.63504245200000009</v>
      </c>
      <c r="C24" s="2" t="str">
        <f ca="1">IFERROR(__xludf.DUMMYFUNCTION("IFERROR(STDEV.S(FILTER(J28:M28, J28:M28&lt;&gt;"""")))"),"")</f>
        <v/>
      </c>
      <c r="D24" s="47">
        <v>0</v>
      </c>
      <c r="E24" s="3"/>
      <c r="F24" s="3"/>
      <c r="G24" s="16">
        <v>9812</v>
      </c>
      <c r="I24" s="6">
        <v>64721</v>
      </c>
      <c r="J24" s="7"/>
      <c r="K24" s="7" t="str">
        <f t="shared" si="1"/>
        <v/>
      </c>
      <c r="L24" s="6">
        <f t="shared" si="2"/>
        <v>0.63504245200000009</v>
      </c>
      <c r="M24" s="23"/>
      <c r="N24" s="24"/>
    </row>
    <row r="25" spans="1:14" ht="15.75" customHeight="1" x14ac:dyDescent="0.15">
      <c r="A25" s="26" t="s">
        <v>35</v>
      </c>
      <c r="B25" s="2">
        <f t="shared" si="0"/>
        <v>1.1002189875000001</v>
      </c>
      <c r="C25" s="2">
        <f ca="1">IFERROR(__xludf.DUMMYFUNCTION("IFERROR(STDEV.S(FILTER(J29:M29, J29:M29&lt;&gt;"""")))"),0.140316837767426)</f>
        <v>0.14031683776742601</v>
      </c>
      <c r="D25" s="47">
        <v>0.1275353719</v>
      </c>
      <c r="E25" s="3"/>
      <c r="F25" s="3">
        <v>1001</v>
      </c>
      <c r="G25" s="16">
        <v>85</v>
      </c>
      <c r="I25" s="6">
        <v>14111035</v>
      </c>
      <c r="J25" s="7"/>
      <c r="K25" s="7">
        <f t="shared" si="1"/>
        <v>1.0010000000000001</v>
      </c>
      <c r="L25" s="6">
        <f t="shared" si="2"/>
        <v>1.1994379750000002</v>
      </c>
      <c r="M25" s="23"/>
      <c r="N25" s="24"/>
    </row>
    <row r="26" spans="1:14" ht="15.75" customHeight="1" x14ac:dyDescent="0.15">
      <c r="A26" s="26" t="s">
        <v>36</v>
      </c>
      <c r="B26" s="2">
        <f t="shared" si="0"/>
        <v>9.0450232740000001</v>
      </c>
      <c r="C26" s="2" t="str">
        <f ca="1">IFERROR(__xludf.DUMMYFUNCTION("IFERROR(STDEV.S(FILTER(J30:M30, J30:M30&lt;&gt;"""")))"),"")</f>
        <v/>
      </c>
      <c r="D26" s="47">
        <v>0</v>
      </c>
      <c r="E26" s="3"/>
      <c r="F26" s="3"/>
      <c r="G26" s="16">
        <v>11502</v>
      </c>
      <c r="I26" s="6">
        <v>786387</v>
      </c>
      <c r="J26" s="7"/>
      <c r="K26" s="7" t="str">
        <f t="shared" si="1"/>
        <v/>
      </c>
      <c r="L26" s="6">
        <f t="shared" si="2"/>
        <v>9.0450232740000001</v>
      </c>
      <c r="M26" s="23"/>
      <c r="N26" s="24"/>
    </row>
    <row r="27" spans="1:14" ht="15.75" customHeight="1" x14ac:dyDescent="0.15">
      <c r="A27" s="26" t="s">
        <v>37</v>
      </c>
      <c r="B27" s="2">
        <f t="shared" si="0"/>
        <v>11.7097609705</v>
      </c>
      <c r="C27" s="2">
        <f ca="1">IFERROR(__xludf.DUMMYFUNCTION("IFERROR(STDEV.S(FILTER(J31:M31, J31:M31&lt;&gt;"""")))"),0.426754457075969)</f>
        <v>0.42675445707596898</v>
      </c>
      <c r="D27" s="47">
        <v>3.6444335469999999E-2</v>
      </c>
      <c r="E27" s="3"/>
      <c r="F27" s="3">
        <v>11408</v>
      </c>
      <c r="G27" s="16">
        <v>981</v>
      </c>
      <c r="I27" s="6">
        <v>12244161</v>
      </c>
      <c r="J27" s="7"/>
      <c r="K27" s="7">
        <f t="shared" si="1"/>
        <v>11.407999999999999</v>
      </c>
      <c r="L27" s="6">
        <f t="shared" si="2"/>
        <v>12.011521941000002</v>
      </c>
      <c r="M27" s="23"/>
      <c r="N27" s="24"/>
    </row>
    <row r="28" spans="1:14" ht="15.75" customHeight="1" x14ac:dyDescent="0.15">
      <c r="A28" s="26" t="s">
        <v>38</v>
      </c>
      <c r="B28" s="2" t="str">
        <f t="shared" si="0"/>
        <v/>
      </c>
      <c r="C28" s="2" t="str">
        <f ca="1">IFERROR(__xludf.DUMMYFUNCTION("IFERROR(STDEV.S(FILTER(J32:M32, J32:M32&lt;&gt;"""")))"),"")</f>
        <v/>
      </c>
      <c r="D28" s="47" t="s">
        <v>277</v>
      </c>
      <c r="E28" s="3"/>
      <c r="F28" s="3"/>
      <c r="G28" s="16"/>
      <c r="I28" s="6">
        <v>29919</v>
      </c>
      <c r="J28" s="7"/>
      <c r="K28" s="7" t="str">
        <f t="shared" si="1"/>
        <v/>
      </c>
      <c r="L28" s="6" t="str">
        <f t="shared" si="2"/>
        <v/>
      </c>
      <c r="M28" s="23"/>
      <c r="N28" s="24"/>
    </row>
    <row r="29" spans="1:14" ht="15.75" customHeight="1" x14ac:dyDescent="0.15">
      <c r="A29" s="46" t="s">
        <v>285</v>
      </c>
      <c r="B29" s="2">
        <f t="shared" si="0"/>
        <v>16.572014336500001</v>
      </c>
      <c r="C29" s="2">
        <f ca="1">IFERROR(__xludf.DUMMYFUNCTION("IFERROR(STDEV.S(FILTER(J33:M33, J33:M33&lt;&gt;"""")))"),0.270135065285998)</f>
        <v>0.27013506528599801</v>
      </c>
      <c r="D29" s="47">
        <v>1.6300677749999999E-2</v>
      </c>
      <c r="E29" s="3"/>
      <c r="F29" s="3">
        <v>16381</v>
      </c>
      <c r="G29" s="16">
        <v>5263</v>
      </c>
      <c r="I29" s="6">
        <v>3185071</v>
      </c>
      <c r="J29" s="7"/>
      <c r="K29" s="7">
        <f t="shared" si="1"/>
        <v>16.381</v>
      </c>
      <c r="L29" s="6">
        <f t="shared" si="2"/>
        <v>16.763028673000001</v>
      </c>
      <c r="M29" s="23"/>
      <c r="N29" s="24"/>
    </row>
    <row r="30" spans="1:14" ht="15.75" customHeight="1" x14ac:dyDescent="0.15">
      <c r="A30" s="26" t="s">
        <v>39</v>
      </c>
      <c r="B30" s="2">
        <f t="shared" si="0"/>
        <v>2.5141210000000003</v>
      </c>
      <c r="C30" s="2">
        <f ca="1">IFERROR(__xludf.DUMMYFUNCTION("IFERROR(STDEV.S(FILTER(J34:M34, J34:M34&lt;&gt;"""")))"),0.0479121412796382)</f>
        <v>4.79121412796382E-2</v>
      </c>
      <c r="D30" s="47">
        <v>1.905721375E-2</v>
      </c>
      <c r="E30" s="3"/>
      <c r="F30" s="3">
        <v>2548</v>
      </c>
      <c r="G30" s="16">
        <v>1000</v>
      </c>
      <c r="I30" s="6">
        <v>2480242</v>
      </c>
      <c r="J30" s="7"/>
      <c r="K30" s="7">
        <f t="shared" si="1"/>
        <v>2.548</v>
      </c>
      <c r="L30" s="6">
        <f t="shared" si="2"/>
        <v>2.4802420000000001</v>
      </c>
      <c r="M30" s="23"/>
      <c r="N30" s="24"/>
    </row>
    <row r="31" spans="1:14" ht="15.75" customHeight="1" x14ac:dyDescent="0.15">
      <c r="A31" s="26" t="s">
        <v>40</v>
      </c>
      <c r="B31" s="2">
        <f t="shared" si="0"/>
        <v>697.57617716125003</v>
      </c>
      <c r="C31" s="2">
        <f ca="1">IFERROR(__xludf.DUMMYFUNCTION("IFERROR(STDEV.S(FILTER(J35:M35, J35:M35&lt;&gt;"""")))"),15.0733178041964)</f>
        <v>15.0733178041964</v>
      </c>
      <c r="D31" s="47">
        <v>2.160813155E-2</v>
      </c>
      <c r="E31" s="3"/>
      <c r="F31" s="3">
        <v>707596</v>
      </c>
      <c r="G31" s="16">
        <v>3295</v>
      </c>
      <c r="I31" s="6">
        <v>211140731</v>
      </c>
      <c r="J31" s="7"/>
      <c r="K31" s="7">
        <f t="shared" si="1"/>
        <v>707.596</v>
      </c>
      <c r="L31" s="6">
        <f t="shared" si="2"/>
        <v>695.708708645</v>
      </c>
      <c r="M31" s="23">
        <v>710</v>
      </c>
      <c r="N31" s="24">
        <v>677</v>
      </c>
    </row>
    <row r="32" spans="1:14" ht="15.75" customHeight="1" x14ac:dyDescent="0.15">
      <c r="A32" s="26" t="s">
        <v>41</v>
      </c>
      <c r="B32" s="2">
        <f t="shared" si="0"/>
        <v>0.21165740800000002</v>
      </c>
      <c r="C32" s="2" t="str">
        <f ca="1">IFERROR(__xludf.DUMMYFUNCTION("IFERROR(STDEV.S(FILTER(J36:M36, J36:M36&lt;&gt;"""")))"),"")</f>
        <v/>
      </c>
      <c r="D32" s="47">
        <v>0</v>
      </c>
      <c r="E32" s="3"/>
      <c r="F32" s="3"/>
      <c r="G32" s="16">
        <v>5426</v>
      </c>
      <c r="I32" s="6">
        <v>39008</v>
      </c>
      <c r="J32" s="7"/>
      <c r="K32" s="7" t="str">
        <f t="shared" si="1"/>
        <v/>
      </c>
      <c r="L32" s="6">
        <f t="shared" si="2"/>
        <v>0.21165740800000002</v>
      </c>
      <c r="M32" s="23"/>
      <c r="N32" s="24"/>
    </row>
    <row r="33" spans="1:14" ht="15.75" customHeight="1" x14ac:dyDescent="0.15">
      <c r="A33" s="26" t="s">
        <v>42</v>
      </c>
      <c r="B33" s="2">
        <f t="shared" si="0"/>
        <v>5.7397144769999997</v>
      </c>
      <c r="C33" s="2">
        <f ca="1">IFERROR(__xludf.DUMMYFUNCTION("IFERROR(STDEV.S(FILTER(J37:M37, J37:M37&lt;&gt;"""")))"),0.194757681108517)</f>
        <v>0.19475768110851699</v>
      </c>
      <c r="D33" s="47">
        <v>3.3931597450000003E-2</v>
      </c>
      <c r="E33" s="3"/>
      <c r="F33" s="3">
        <v>5602</v>
      </c>
      <c r="G33" s="16">
        <v>12806</v>
      </c>
      <c r="I33" s="6">
        <v>458959</v>
      </c>
      <c r="J33" s="7"/>
      <c r="K33" s="7">
        <f t="shared" si="1"/>
        <v>5.6020000000000003</v>
      </c>
      <c r="L33" s="6">
        <f t="shared" si="2"/>
        <v>5.877428954</v>
      </c>
      <c r="M33" s="23"/>
      <c r="N33" s="24"/>
    </row>
    <row r="34" spans="1:14" ht="15.75" customHeight="1" x14ac:dyDescent="0.15">
      <c r="A34" s="26" t="s">
        <v>43</v>
      </c>
      <c r="B34" s="2">
        <f t="shared" si="0"/>
        <v>45.568953960000002</v>
      </c>
      <c r="C34" s="2">
        <f ca="1">IFERROR(__xludf.DUMMYFUNCTION("IFERROR(STDEV.S(FILTER(J38:M38, J38:M38&lt;&gt;"""")))"),6.97213797289177)</f>
        <v>6.9721379728917698</v>
      </c>
      <c r="D34" s="47">
        <v>0.15300193149999999</v>
      </c>
      <c r="E34" s="3"/>
      <c r="F34" s="3">
        <v>50499</v>
      </c>
      <c r="G34" s="16">
        <v>5980</v>
      </c>
      <c r="I34" s="6">
        <v>6795804</v>
      </c>
      <c r="J34" s="7"/>
      <c r="K34" s="7">
        <f t="shared" si="1"/>
        <v>50.499000000000002</v>
      </c>
      <c r="L34" s="6">
        <f t="shared" si="2"/>
        <v>40.638907920000001</v>
      </c>
      <c r="M34" s="23"/>
      <c r="N34" s="24"/>
    </row>
    <row r="35" spans="1:14" ht="15.75" customHeight="1" x14ac:dyDescent="0.15">
      <c r="A35" s="26" t="s">
        <v>44</v>
      </c>
      <c r="B35" s="2">
        <f t="shared" si="0"/>
        <v>1.225938226</v>
      </c>
      <c r="C35" s="2">
        <f ca="1">IFERROR(__xludf.DUMMYFUNCTION("IFERROR(STDEV.S(FILTER(J39:M39, J39:M39&lt;&gt;"""")))"),0.626583969759883)</f>
        <v>0.62658396975988295</v>
      </c>
      <c r="D35" s="47">
        <v>0.51110566300000004</v>
      </c>
      <c r="E35" s="3"/>
      <c r="F35" s="3">
        <v>1669</v>
      </c>
      <c r="G35" s="16">
        <v>34</v>
      </c>
      <c r="I35" s="6">
        <v>23025778</v>
      </c>
      <c r="J35" s="7"/>
      <c r="K35" s="7">
        <f t="shared" si="1"/>
        <v>1.669</v>
      </c>
      <c r="L35" s="6">
        <f t="shared" si="2"/>
        <v>0.782876452</v>
      </c>
      <c r="M35" s="23"/>
      <c r="N35" s="24"/>
    </row>
    <row r="36" spans="1:14" ht="15.75" customHeight="1" x14ac:dyDescent="0.15">
      <c r="A36" s="26" t="s">
        <v>45</v>
      </c>
      <c r="B36" s="2">
        <f t="shared" si="0"/>
        <v>9.8947687625</v>
      </c>
      <c r="C36" s="2">
        <f ca="1">IFERROR(__xludf.DUMMYFUNCTION("IFERROR(STDEV.S(FILTER(J40:M40, J40:M40&lt;&gt;"""")))"),1.05674455030133)</f>
        <v>1.05674455030133</v>
      </c>
      <c r="D36" s="47">
        <v>0.10679830680000001</v>
      </c>
      <c r="E36" s="3"/>
      <c r="F36" s="3">
        <v>10642</v>
      </c>
      <c r="G36" s="16">
        <v>525</v>
      </c>
      <c r="I36" s="6">
        <v>17423881</v>
      </c>
      <c r="J36" s="7"/>
      <c r="K36" s="7">
        <f t="shared" si="1"/>
        <v>10.641999999999999</v>
      </c>
      <c r="L36" s="6">
        <f t="shared" si="2"/>
        <v>9.1475375250000006</v>
      </c>
      <c r="M36" s="23"/>
      <c r="N36" s="24"/>
    </row>
    <row r="37" spans="1:14" ht="14" x14ac:dyDescent="0.15">
      <c r="A37" s="26" t="s">
        <v>46</v>
      </c>
      <c r="B37" s="2">
        <f t="shared" si="0"/>
        <v>9.1152261040000013</v>
      </c>
      <c r="C37" s="2">
        <f ca="1">IFERROR(__xludf.DUMMYFUNCTION("IFERROR(STDEV.S(FILTER(J41:M41, J41:M41&lt;&gt;"""")))"),1.21448969073518)</f>
        <v>1.2144896907351801</v>
      </c>
      <c r="D37" s="47">
        <v>0.13323747289999999</v>
      </c>
      <c r="E37" s="3"/>
      <c r="F37" s="3">
        <v>9974</v>
      </c>
      <c r="G37" s="16">
        <v>291</v>
      </c>
      <c r="I37" s="6">
        <v>28372688</v>
      </c>
      <c r="J37" s="7"/>
      <c r="K37" s="7">
        <f t="shared" si="1"/>
        <v>9.9740000000000002</v>
      </c>
      <c r="L37" s="6">
        <f t="shared" si="2"/>
        <v>8.2564522080000007</v>
      </c>
      <c r="M37" s="23"/>
      <c r="N37" s="24"/>
    </row>
    <row r="38" spans="1:14" ht="14" x14ac:dyDescent="0.15">
      <c r="A38" s="26" t="s">
        <v>47</v>
      </c>
      <c r="B38" s="2">
        <f t="shared" si="0"/>
        <v>639.54263743224999</v>
      </c>
      <c r="C38" s="2">
        <f ca="1">IFERROR(__xludf.DUMMYFUNCTION("IFERROR(STDEV.S(FILTER(J42:M42, J42:M42&lt;&gt;"""")))"),12.9691714963454)</f>
        <v>12.9691714963454</v>
      </c>
      <c r="D38" s="47">
        <v>2.0278822299999999E-2</v>
      </c>
      <c r="E38" s="3"/>
      <c r="F38" s="3">
        <v>626805</v>
      </c>
      <c r="G38" s="16">
        <v>16371</v>
      </c>
      <c r="I38" s="6">
        <v>39299099</v>
      </c>
      <c r="J38" s="7"/>
      <c r="K38" s="7">
        <f t="shared" si="1"/>
        <v>626.80500000000006</v>
      </c>
      <c r="L38" s="6">
        <f t="shared" si="2"/>
        <v>643.36554972900001</v>
      </c>
      <c r="M38" s="23">
        <v>632</v>
      </c>
      <c r="N38" s="24">
        <v>656</v>
      </c>
    </row>
    <row r="39" spans="1:14" ht="14" x14ac:dyDescent="0.15">
      <c r="A39" s="26" t="s">
        <v>48</v>
      </c>
      <c r="B39" s="2">
        <f t="shared" si="0"/>
        <v>0.37869287500000004</v>
      </c>
      <c r="C39" s="2" t="str">
        <f ca="1">IFERROR(__xludf.DUMMYFUNCTION("IFERROR(STDEV.S(FILTER(J43:M43, J43:M43&lt;&gt;"""")))"),"")</f>
        <v/>
      </c>
      <c r="D39" s="47">
        <v>0</v>
      </c>
      <c r="E39" s="3"/>
      <c r="F39" s="3"/>
      <c r="G39" s="16">
        <v>725</v>
      </c>
      <c r="I39" s="6">
        <v>522335</v>
      </c>
      <c r="J39" s="7"/>
      <c r="K39" s="7" t="str">
        <f t="shared" si="1"/>
        <v/>
      </c>
      <c r="L39" s="6">
        <f t="shared" si="2"/>
        <v>0.37869287500000004</v>
      </c>
      <c r="M39" s="23"/>
      <c r="N39" s="24"/>
    </row>
    <row r="40" spans="1:14" ht="28" x14ac:dyDescent="0.15">
      <c r="A40" s="26" t="s">
        <v>49</v>
      </c>
      <c r="B40" s="2">
        <f t="shared" si="0"/>
        <v>0.74413823000000001</v>
      </c>
      <c r="C40" s="2" t="str">
        <f ca="1">IFERROR(__xludf.DUMMYFUNCTION("IFERROR(STDEV.S(FILTER(J44:M44, J44:M44&lt;&gt;"""")))"),"")</f>
        <v/>
      </c>
      <c r="D40" s="47">
        <v>0</v>
      </c>
      <c r="E40" s="3"/>
      <c r="F40" s="3"/>
      <c r="G40" s="16">
        <v>10186</v>
      </c>
      <c r="I40" s="6">
        <v>73055</v>
      </c>
      <c r="J40" s="7"/>
      <c r="K40" s="7" t="str">
        <f t="shared" si="1"/>
        <v/>
      </c>
      <c r="L40" s="6">
        <f t="shared" si="2"/>
        <v>0.74413823000000001</v>
      </c>
      <c r="M40" s="23"/>
      <c r="N40" s="24"/>
    </row>
    <row r="41" spans="1:14" ht="28" x14ac:dyDescent="0.15">
      <c r="A41" s="46" t="s">
        <v>281</v>
      </c>
      <c r="B41" s="2">
        <f t="shared" si="0"/>
        <v>0.13911525900000002</v>
      </c>
      <c r="C41" s="2" t="str">
        <f ca="1">IFERROR(__xludf.DUMMYFUNCTION("IFERROR(STDEV.S(FILTER(J45:M45, J45:M45&lt;&gt;"""")))"),"")</f>
        <v/>
      </c>
      <c r="D41" s="47">
        <v>0</v>
      </c>
      <c r="E41" s="3"/>
      <c r="F41" s="3"/>
      <c r="G41" s="16">
        <v>27</v>
      </c>
      <c r="I41" s="6">
        <v>5152417</v>
      </c>
      <c r="J41" s="7"/>
      <c r="K41" s="7" t="str">
        <f t="shared" si="1"/>
        <v/>
      </c>
      <c r="L41" s="6">
        <f t="shared" si="2"/>
        <v>0.13911525900000002</v>
      </c>
      <c r="M41" s="23"/>
      <c r="N41" s="24"/>
    </row>
    <row r="42" spans="1:14" ht="14" x14ac:dyDescent="0.15">
      <c r="A42" s="26" t="s">
        <v>50</v>
      </c>
      <c r="B42" s="2">
        <f t="shared" si="0"/>
        <v>0.38119073000000003</v>
      </c>
      <c r="C42" s="2">
        <f ca="1">IFERROR(__xludf.DUMMYFUNCTION("IFERROR(STDEV.S(FILTER(J46:M46, J46:M46&lt;&gt;"""")))"),0.00734080076461688)</f>
        <v>7.34080076461688E-3</v>
      </c>
      <c r="D42" s="47">
        <v>1.925755321E-2</v>
      </c>
      <c r="E42" s="3"/>
      <c r="F42" s="3">
        <v>376</v>
      </c>
      <c r="G42" s="16">
        <v>20</v>
      </c>
      <c r="I42" s="6">
        <v>19319073</v>
      </c>
      <c r="J42" s="7"/>
      <c r="K42" s="7">
        <f t="shared" si="1"/>
        <v>0.376</v>
      </c>
      <c r="L42" s="6">
        <f t="shared" si="2"/>
        <v>0.38638146000000001</v>
      </c>
      <c r="M42" s="23"/>
      <c r="N42" s="24"/>
    </row>
    <row r="43" spans="1:14" ht="14" x14ac:dyDescent="0.15">
      <c r="A43" s="26" t="s">
        <v>51</v>
      </c>
      <c r="B43" s="2">
        <f t="shared" si="0"/>
        <v>87.504482976749998</v>
      </c>
      <c r="C43" s="2">
        <f ca="1">IFERROR(__xludf.DUMMYFUNCTION("IFERROR(STDEV.S(FILTER(J47:M47, J47:M47&lt;&gt;"""")))"),3.64260321323612)</f>
        <v>3.6426032132361201</v>
      </c>
      <c r="D43" s="47">
        <v>4.1627618259999999E-2</v>
      </c>
      <c r="E43" s="3"/>
      <c r="F43" s="3">
        <v>87738</v>
      </c>
      <c r="G43" s="16">
        <v>4259</v>
      </c>
      <c r="I43" s="6">
        <v>19319073</v>
      </c>
      <c r="J43" s="7"/>
      <c r="K43" s="7">
        <f t="shared" si="1"/>
        <v>87.738</v>
      </c>
      <c r="L43" s="6">
        <f t="shared" si="2"/>
        <v>82.279931907000005</v>
      </c>
      <c r="M43" s="23">
        <v>90</v>
      </c>
      <c r="N43" s="24">
        <v>90</v>
      </c>
    </row>
    <row r="44" spans="1:14" ht="14" x14ac:dyDescent="0.15">
      <c r="A44" s="26" t="s">
        <v>52</v>
      </c>
      <c r="B44" s="2">
        <f t="shared" si="0"/>
        <v>9173.6235142487494</v>
      </c>
      <c r="C44" s="2">
        <f ca="1">IFERROR(__xludf.DUMMYFUNCTION("IFERROR(STDEV.S(FILTER(J48:M48, J48:M48&lt;&gt;"""")))"),318.947678506619)</f>
        <v>318.94767850661901</v>
      </c>
      <c r="D44" s="47">
        <v>3.4767905830000001E-2</v>
      </c>
      <c r="E44" s="17"/>
      <c r="F44" s="17">
        <v>8950643</v>
      </c>
      <c r="G44" s="16">
        <v>6635</v>
      </c>
      <c r="I44" s="6">
        <v>1422584937</v>
      </c>
      <c r="J44" s="7"/>
      <c r="K44" s="7">
        <f t="shared" si="1"/>
        <v>8950.643</v>
      </c>
      <c r="L44" s="6">
        <f t="shared" si="2"/>
        <v>9438.8510569950013</v>
      </c>
      <c r="M44" s="21">
        <v>9456</v>
      </c>
      <c r="N44" s="22">
        <v>8849</v>
      </c>
    </row>
    <row r="45" spans="1:14" ht="14" x14ac:dyDescent="0.15">
      <c r="A45" s="26" t="s">
        <v>53</v>
      </c>
      <c r="B45" s="2">
        <f t="shared" si="0"/>
        <v>89.248929520000004</v>
      </c>
      <c r="C45" s="2">
        <f ca="1">IFERROR(__xludf.DUMMYFUNCTION("IFERROR(STDEV.S(FILTER(J51:M51, J51:M51&lt;&gt;"""")))"),2.60260032109997)</f>
        <v>2.60260032109997</v>
      </c>
      <c r="D45" s="47">
        <v>2.9161137680000001E-2</v>
      </c>
      <c r="E45" s="3"/>
      <c r="F45" s="3">
        <v>88881</v>
      </c>
      <c r="G45" s="16">
        <v>1665</v>
      </c>
      <c r="I45" s="6">
        <v>52321152</v>
      </c>
      <c r="J45" s="7"/>
      <c r="K45" s="7">
        <f t="shared" si="1"/>
        <v>88.881</v>
      </c>
      <c r="L45" s="6">
        <f t="shared" si="2"/>
        <v>87.114718080000003</v>
      </c>
      <c r="M45" s="23">
        <v>93</v>
      </c>
      <c r="N45" s="24">
        <v>88</v>
      </c>
    </row>
    <row r="46" spans="1:14" ht="14" x14ac:dyDescent="0.15">
      <c r="A46" s="26" t="s">
        <v>54</v>
      </c>
      <c r="B46" s="2">
        <f t="shared" si="0"/>
        <v>0.14201513000000002</v>
      </c>
      <c r="C46" s="2" t="str">
        <f ca="1">IFERROR(__xludf.DUMMYFUNCTION("IFERROR(STDEV.S(FILTER(J52:M52, J52:M52&lt;&gt;"""")))"),"")</f>
        <v/>
      </c>
      <c r="D46" s="47">
        <v>0</v>
      </c>
      <c r="E46" s="3"/>
      <c r="F46" s="3"/>
      <c r="G46" s="16">
        <v>167</v>
      </c>
      <c r="I46" s="6">
        <v>850390</v>
      </c>
      <c r="J46" s="7"/>
      <c r="K46" s="7" t="str">
        <f t="shared" si="1"/>
        <v/>
      </c>
      <c r="L46" s="6">
        <f t="shared" si="2"/>
        <v>0.14201513000000002</v>
      </c>
      <c r="M46" s="23"/>
      <c r="N46" s="24"/>
    </row>
    <row r="47" spans="1:14" ht="14" x14ac:dyDescent="0.15">
      <c r="A47" s="26" t="s">
        <v>55</v>
      </c>
      <c r="B47" s="2">
        <f t="shared" si="0"/>
        <v>4.5777678149999996</v>
      </c>
      <c r="C47" s="2">
        <f ca="1">IFERROR(__xludf.DUMMYFUNCTION("IFERROR(STDEV.S(FILTER(J53:M53, J53:M53&lt;&gt;"""")))"),0.615511258808275)</f>
        <v>0.61551125880827495</v>
      </c>
      <c r="D47" s="47">
        <v>0.13445663560000001</v>
      </c>
      <c r="E47" s="3"/>
      <c r="F47" s="3">
        <v>5013</v>
      </c>
      <c r="G47" s="16">
        <v>670</v>
      </c>
      <c r="I47" s="6">
        <v>6182889</v>
      </c>
      <c r="J47" s="7"/>
      <c r="K47" s="7">
        <f t="shared" si="1"/>
        <v>5.0129999999999999</v>
      </c>
      <c r="L47" s="6">
        <f t="shared" si="2"/>
        <v>4.1425356300000002</v>
      </c>
      <c r="M47" s="23"/>
      <c r="N47" s="24"/>
    </row>
    <row r="48" spans="1:14" ht="14" x14ac:dyDescent="0.15">
      <c r="A48" s="26" t="s">
        <v>56</v>
      </c>
      <c r="B48" s="2">
        <f t="shared" si="0"/>
        <v>3.3456807000000005E-2</v>
      </c>
      <c r="C48" s="2" t="str">
        <f ca="1">IFERROR(__xludf.DUMMYFUNCTION("IFERROR(STDEV.S(FILTER(J54:M54, J54:M54&lt;&gt;"""")))"),"")</f>
        <v/>
      </c>
      <c r="D48" s="47">
        <v>0</v>
      </c>
      <c r="E48" s="3"/>
      <c r="F48" s="3"/>
      <c r="G48" s="16">
        <v>2349</v>
      </c>
      <c r="I48" s="6">
        <v>14243</v>
      </c>
      <c r="J48" s="7"/>
      <c r="K48" s="7" t="str">
        <f t="shared" si="1"/>
        <v/>
      </c>
      <c r="L48" s="6">
        <f t="shared" si="2"/>
        <v>3.3456807000000005E-2</v>
      </c>
      <c r="M48" s="23"/>
      <c r="N48" s="24"/>
    </row>
    <row r="49" spans="1:14" ht="14" x14ac:dyDescent="0.15">
      <c r="A49" s="26" t="s">
        <v>57</v>
      </c>
      <c r="B49" s="2">
        <f t="shared" si="0"/>
        <v>12.029356050000001</v>
      </c>
      <c r="C49" s="2">
        <f ca="1">IFERROR(__xludf.DUMMYFUNCTION("IFERROR(STDEV.S(FILTER(J55:M55, J55:M55&lt;&gt;"""")))"),0.405375761662195)</f>
        <v>0.40537576166219502</v>
      </c>
      <c r="D49" s="47">
        <v>3.3698874650000002E-2</v>
      </c>
      <c r="E49" s="3"/>
      <c r="F49" s="3">
        <v>12316</v>
      </c>
      <c r="G49" s="16">
        <v>2300</v>
      </c>
      <c r="I49" s="6">
        <v>5105527</v>
      </c>
      <c r="J49" s="7"/>
      <c r="K49" s="7">
        <f t="shared" si="1"/>
        <v>12.316000000000001</v>
      </c>
      <c r="L49" s="6">
        <f t="shared" si="2"/>
        <v>11.7427121</v>
      </c>
      <c r="M49" s="23"/>
      <c r="N49" s="24"/>
    </row>
    <row r="50" spans="1:14" ht="14" x14ac:dyDescent="0.15">
      <c r="A50" s="46" t="s">
        <v>280</v>
      </c>
      <c r="B50" s="2">
        <f t="shared" si="0"/>
        <v>12.3852160725</v>
      </c>
      <c r="C50" s="2">
        <f ca="1">IFERROR(__xludf.DUMMYFUNCTION("IFERROR(STDEV.S(FILTER(J56:M56, J56:M56&lt;&gt;"""")))"),0.105760444518026)</f>
        <v>0.10576044451802601</v>
      </c>
      <c r="D50" s="47">
        <v>8.5392490450000007E-3</v>
      </c>
      <c r="E50" s="3"/>
      <c r="F50" s="3">
        <v>12460</v>
      </c>
      <c r="G50" s="16">
        <v>395</v>
      </c>
      <c r="I50" s="6">
        <v>31165651</v>
      </c>
      <c r="J50" s="7"/>
      <c r="K50" s="7">
        <f t="shared" si="1"/>
        <v>12.46</v>
      </c>
      <c r="L50" s="6">
        <f t="shared" si="2"/>
        <v>12.310432145</v>
      </c>
      <c r="M50" s="23"/>
      <c r="N50" s="24"/>
    </row>
    <row r="51" spans="1:14" ht="14" x14ac:dyDescent="0.15">
      <c r="A51" s="26" t="s">
        <v>58</v>
      </c>
      <c r="B51" s="2">
        <f t="shared" si="0"/>
        <v>15.336454676000002</v>
      </c>
      <c r="C51" s="2">
        <f ca="1">IFERROR(__xludf.DUMMYFUNCTION("IFERROR(STDEV.S(FILTER(J57:M57, J57:M57&lt;&gt;"""")))"),1.57890534457406)</f>
        <v>1.57890534457406</v>
      </c>
      <c r="D51" s="47">
        <v>0.10295113039999999</v>
      </c>
      <c r="E51" s="3"/>
      <c r="F51" s="3">
        <v>14220</v>
      </c>
      <c r="G51" s="16">
        <v>4223</v>
      </c>
      <c r="I51" s="6">
        <v>3896024</v>
      </c>
      <c r="J51" s="7"/>
      <c r="K51" s="7">
        <f t="shared" si="1"/>
        <v>14.22</v>
      </c>
      <c r="L51" s="6">
        <f t="shared" si="2"/>
        <v>16.452909352000002</v>
      </c>
      <c r="M51" s="23"/>
      <c r="N51" s="24"/>
    </row>
    <row r="52" spans="1:14" ht="14" x14ac:dyDescent="0.15">
      <c r="A52" s="26" t="s">
        <v>59</v>
      </c>
      <c r="B52" s="2">
        <f t="shared" si="0"/>
        <v>16.772713868499999</v>
      </c>
      <c r="C52" s="2">
        <f ca="1">IFERROR(__xludf.DUMMYFUNCTION("IFERROR(STDEV.S(FILTER(J58:M58, J58:M58&lt;&gt;"""")))"),1.63584044061775)</f>
        <v>1.63584044061775</v>
      </c>
      <c r="D52" s="47">
        <v>9.7529860309999994E-2</v>
      </c>
      <c r="E52" s="3"/>
      <c r="F52" s="3">
        <v>15616</v>
      </c>
      <c r="G52" s="16">
        <v>1627</v>
      </c>
      <c r="I52" s="6">
        <v>11019931</v>
      </c>
      <c r="J52" s="7"/>
      <c r="K52" s="7">
        <f t="shared" si="1"/>
        <v>15.616</v>
      </c>
      <c r="L52" s="6">
        <f t="shared" si="2"/>
        <v>17.929427737000001</v>
      </c>
      <c r="M52" s="23"/>
      <c r="N52" s="24"/>
    </row>
    <row r="53" spans="1:14" ht="14" x14ac:dyDescent="0.15">
      <c r="A53" s="26" t="s">
        <v>60</v>
      </c>
      <c r="B53" s="2">
        <f t="shared" si="0"/>
        <v>0.86599999999999999</v>
      </c>
      <c r="C53" s="2" t="str">
        <f ca="1">IFERROR(__xludf.DUMMYFUNCTION("IFERROR(STDEV.S(FILTER(J59:M59, J59:M59&lt;&gt;"""")))"),"")</f>
        <v/>
      </c>
      <c r="D53" s="47">
        <v>0</v>
      </c>
      <c r="E53" s="3"/>
      <c r="F53" s="3">
        <v>866</v>
      </c>
      <c r="G53" s="16"/>
      <c r="I53" s="6">
        <v>185437</v>
      </c>
      <c r="J53" s="7"/>
      <c r="K53" s="7">
        <f t="shared" si="1"/>
        <v>0.86599999999999999</v>
      </c>
      <c r="L53" s="6" t="str">
        <f t="shared" si="2"/>
        <v/>
      </c>
      <c r="M53" s="23"/>
      <c r="N53" s="24"/>
    </row>
    <row r="54" spans="1:14" ht="14" x14ac:dyDescent="0.15">
      <c r="A54" s="26" t="s">
        <v>61</v>
      </c>
      <c r="B54" s="2">
        <f t="shared" si="0"/>
        <v>5.5097375915000004</v>
      </c>
      <c r="C54" s="2">
        <f ca="1">IFERROR(__xludf.DUMMYFUNCTION("IFERROR(STDEV.S(FILTER(J60:M60, J60:M60&lt;&gt;"""")))"),0.34328279399708)</f>
        <v>0.34328279399708</v>
      </c>
      <c r="D54" s="47">
        <v>6.2304744699999998E-2</v>
      </c>
      <c r="E54" s="3"/>
      <c r="F54" s="3">
        <v>5267</v>
      </c>
      <c r="G54" s="16">
        <v>4277</v>
      </c>
      <c r="I54" s="6">
        <v>1344979</v>
      </c>
      <c r="J54" s="7"/>
      <c r="K54" s="7">
        <f t="shared" si="1"/>
        <v>5.2670000000000003</v>
      </c>
      <c r="L54" s="6">
        <f t="shared" si="2"/>
        <v>5.7524751830000005</v>
      </c>
      <c r="M54" s="23"/>
      <c r="N54" s="24"/>
    </row>
    <row r="55" spans="1:14" ht="14" x14ac:dyDescent="0.15">
      <c r="A55" s="26" t="s">
        <v>62</v>
      </c>
      <c r="B55" s="2">
        <f t="shared" si="0"/>
        <v>79.175490569000004</v>
      </c>
      <c r="C55" s="2">
        <f ca="1">IFERROR(__xludf.DUMMYFUNCTION("IFERROR(STDEV.S(FILTER(J61:M61, J61:M61&lt;&gt;"""")))"),4.01047491827984)</f>
        <v>4.01047491827984</v>
      </c>
      <c r="D55" s="47">
        <v>5.0652984769999999E-2</v>
      </c>
      <c r="E55" s="3"/>
      <c r="F55" s="3">
        <v>77245</v>
      </c>
      <c r="G55" s="16">
        <v>7258</v>
      </c>
      <c r="I55" s="6">
        <v>10809722</v>
      </c>
      <c r="J55" s="7"/>
      <c r="K55" s="7">
        <f t="shared" si="1"/>
        <v>77.245000000000005</v>
      </c>
      <c r="L55" s="6">
        <f t="shared" si="2"/>
        <v>78.456962275999999</v>
      </c>
      <c r="M55" s="23">
        <v>76</v>
      </c>
      <c r="N55" s="24">
        <v>85</v>
      </c>
    </row>
    <row r="56" spans="1:14" ht="28" x14ac:dyDescent="0.15">
      <c r="A56" s="46" t="s">
        <v>278</v>
      </c>
      <c r="B56" s="2">
        <f t="shared" si="0"/>
        <v>12.549225048</v>
      </c>
      <c r="C56" s="2">
        <f ca="1">IFERROR(__xludf.DUMMYFUNCTION("IFERROR(STDEV.S(FILTER(J62:M62, J62:M62&lt;&gt;"""")))"),0.991045441289754)</f>
        <v>0.99104544128975403</v>
      </c>
      <c r="D56" s="47">
        <v>7.8972640740000002E-2</v>
      </c>
      <c r="E56" s="3"/>
      <c r="F56" s="3">
        <v>13250</v>
      </c>
      <c r="G56" s="16">
        <v>112</v>
      </c>
      <c r="I56" s="6">
        <v>105789733</v>
      </c>
      <c r="J56" s="7"/>
      <c r="K56" s="7">
        <f t="shared" si="1"/>
        <v>13.25</v>
      </c>
      <c r="L56" s="6">
        <f t="shared" si="2"/>
        <v>11.848450096000001</v>
      </c>
      <c r="M56" s="23"/>
      <c r="N56" s="24"/>
    </row>
    <row r="57" spans="1:14" ht="14" x14ac:dyDescent="0.15">
      <c r="A57" s="26" t="s">
        <v>63</v>
      </c>
      <c r="B57" s="2">
        <f t="shared" si="0"/>
        <v>34.197733581500003</v>
      </c>
      <c r="C57" s="2">
        <f ca="1">IFERROR(__xludf.DUMMYFUNCTION("IFERROR(STDEV.S(FILTER(J63:M63, J63:M63&lt;&gt;"""")))"),0.539089316758615)</f>
        <v>0.53908931675861504</v>
      </c>
      <c r="D57" s="47">
        <v>1.5763890190000001E-2</v>
      </c>
      <c r="E57" s="3"/>
      <c r="F57" s="3">
        <v>33952</v>
      </c>
      <c r="G57" s="16">
        <v>5689</v>
      </c>
      <c r="I57" s="6">
        <v>5948134</v>
      </c>
      <c r="J57" s="7"/>
      <c r="K57" s="7">
        <f t="shared" si="1"/>
        <v>33.951999999999998</v>
      </c>
      <c r="L57" s="6">
        <f t="shared" si="2"/>
        <v>33.838934326</v>
      </c>
      <c r="M57" s="23">
        <v>34</v>
      </c>
      <c r="N57" s="24">
        <v>35</v>
      </c>
    </row>
    <row r="58" spans="1:14" ht="14" x14ac:dyDescent="0.15">
      <c r="A58" s="26" t="s">
        <v>64</v>
      </c>
      <c r="B58" s="2">
        <f t="shared" si="0"/>
        <v>0.133742316</v>
      </c>
      <c r="C58" s="2" t="str">
        <f ca="1">IFERROR(__xludf.DUMMYFUNCTION("IFERROR(STDEV.S(FILTER(J64:M64, J64:M64&lt;&gt;"""")))"),"")</f>
        <v/>
      </c>
      <c r="D58" s="47">
        <v>0</v>
      </c>
      <c r="E58" s="3"/>
      <c r="F58" s="3"/>
      <c r="G58" s="16">
        <v>116</v>
      </c>
      <c r="I58" s="6">
        <v>1152951</v>
      </c>
      <c r="J58" s="7"/>
      <c r="K58" s="7" t="str">
        <f t="shared" si="1"/>
        <v/>
      </c>
      <c r="L58" s="6">
        <f t="shared" si="2"/>
        <v>0.133742316</v>
      </c>
      <c r="M58" s="23"/>
      <c r="N58" s="24"/>
    </row>
    <row r="59" spans="1:14" ht="14" x14ac:dyDescent="0.15">
      <c r="A59" s="26" t="s">
        <v>65</v>
      </c>
      <c r="B59" s="2">
        <f t="shared" si="0"/>
        <v>0.15548294700000001</v>
      </c>
      <c r="C59" s="2" t="str">
        <f ca="1">IFERROR(__xludf.DUMMYFUNCTION("IFERROR(STDEV.S(FILTER(J65:M65, J65:M65&lt;&gt;"""")))"),"")</f>
        <v/>
      </c>
      <c r="D59" s="47">
        <v>0</v>
      </c>
      <c r="E59" s="3"/>
      <c r="F59" s="3"/>
      <c r="G59" s="16">
        <v>2337</v>
      </c>
      <c r="I59" s="6">
        <v>66531</v>
      </c>
      <c r="J59" s="7"/>
      <c r="K59" s="7" t="str">
        <f t="shared" si="1"/>
        <v/>
      </c>
      <c r="L59" s="6">
        <f t="shared" si="2"/>
        <v>0.15548294700000001</v>
      </c>
      <c r="M59" s="23"/>
      <c r="N59" s="24"/>
    </row>
    <row r="60" spans="1:14" ht="28" x14ac:dyDescent="0.15">
      <c r="A60" s="46" t="s">
        <v>279</v>
      </c>
      <c r="B60" s="2">
        <f t="shared" si="0"/>
        <v>21.576186012000001</v>
      </c>
      <c r="C60" s="2">
        <f ca="1">IFERROR(__xludf.DUMMYFUNCTION("IFERROR(STDEV.S(FILTER(J66:M66, J66:M66&lt;&gt;"""")))"),0.22229458998574)</f>
        <v>0.22229458998574</v>
      </c>
      <c r="D60" s="47">
        <v>1.0302775009999999E-2</v>
      </c>
      <c r="E60" s="3"/>
      <c r="F60" s="3">
        <v>21419</v>
      </c>
      <c r="G60" s="16">
        <v>1918</v>
      </c>
      <c r="I60" s="6">
        <v>11331268</v>
      </c>
      <c r="J60" s="7"/>
      <c r="K60" s="7">
        <f t="shared" si="1"/>
        <v>21.419</v>
      </c>
      <c r="L60" s="6">
        <f t="shared" si="2"/>
        <v>21.733372024000001</v>
      </c>
      <c r="M60" s="23"/>
      <c r="N60" s="24"/>
    </row>
    <row r="61" spans="1:14" ht="14" x14ac:dyDescent="0.15">
      <c r="A61" s="46" t="s">
        <v>234</v>
      </c>
      <c r="B61" s="2">
        <f t="shared" si="0"/>
        <v>0.52603096000000005</v>
      </c>
      <c r="C61" s="2" t="str">
        <f ca="1">IFERROR(__xludf.DUMMYFUNCTION("IFERROR(STDEV.S(FILTER(J67:M67, J67:M67&lt;&gt;"""")))"),"")</f>
        <v/>
      </c>
      <c r="D61" s="47">
        <v>0</v>
      </c>
      <c r="E61" s="3"/>
      <c r="F61" s="3"/>
      <c r="G61" s="16">
        <v>380</v>
      </c>
      <c r="I61" s="6">
        <v>1384292</v>
      </c>
      <c r="J61" s="7"/>
      <c r="K61" s="7" t="str">
        <f t="shared" si="1"/>
        <v/>
      </c>
      <c r="L61" s="6">
        <f t="shared" si="2"/>
        <v>0.52603096000000005</v>
      </c>
      <c r="M61" s="23"/>
      <c r="N61" s="24"/>
    </row>
    <row r="62" spans="1:14" ht="14" x14ac:dyDescent="0.15">
      <c r="A62" s="26" t="s">
        <v>66</v>
      </c>
      <c r="B62" s="2">
        <f t="shared" si="0"/>
        <v>33.081632838000004</v>
      </c>
      <c r="C62" s="2">
        <f ca="1">IFERROR(__xludf.DUMMYFUNCTION("IFERROR(STDEV.S(FILTER(J68:M68, J68:M68&lt;&gt;"""")))"),0.104132558135615)</f>
        <v>0.10413255813561501</v>
      </c>
      <c r="D62" s="47">
        <v>3.147745416E-3</v>
      </c>
      <c r="E62" s="3"/>
      <c r="F62" s="3">
        <v>33008</v>
      </c>
      <c r="G62" s="16">
        <v>1844</v>
      </c>
      <c r="I62" s="6">
        <v>17980079</v>
      </c>
      <c r="J62" s="7"/>
      <c r="K62" s="7">
        <f t="shared" si="1"/>
        <v>33.008000000000003</v>
      </c>
      <c r="L62" s="6">
        <f t="shared" si="2"/>
        <v>33.155265675999999</v>
      </c>
      <c r="M62" s="23"/>
      <c r="N62" s="24"/>
    </row>
    <row r="63" spans="1:14" ht="14" x14ac:dyDescent="0.15">
      <c r="A63" s="26" t="s">
        <v>67</v>
      </c>
      <c r="B63" s="2">
        <f t="shared" si="0"/>
        <v>220.23907036899999</v>
      </c>
      <c r="C63" s="2">
        <f ca="1">IFERROR(__xludf.DUMMYFUNCTION("IFERROR(STDEV.S(FILTER(J69:M69, J69:M69&lt;&gt;"""")))"),16.0797564911337)</f>
        <v>16.079756491133701</v>
      </c>
      <c r="D63" s="47">
        <v>7.3010462969999995E-2</v>
      </c>
      <c r="E63" s="3"/>
      <c r="F63" s="3">
        <v>208739</v>
      </c>
      <c r="G63" s="16">
        <v>1783</v>
      </c>
      <c r="I63" s="6">
        <v>114535772</v>
      </c>
      <c r="J63" s="7"/>
      <c r="K63" s="7">
        <f t="shared" si="1"/>
        <v>208.739</v>
      </c>
      <c r="L63" s="6">
        <f t="shared" si="2"/>
        <v>204.21728147600001</v>
      </c>
      <c r="M63" s="23">
        <v>236</v>
      </c>
      <c r="N63" s="24">
        <v>232</v>
      </c>
    </row>
    <row r="64" spans="1:14" ht="14" x14ac:dyDescent="0.15">
      <c r="A64" s="1" t="s">
        <v>68</v>
      </c>
      <c r="B64" s="2">
        <f t="shared" si="0"/>
        <v>7.155118152</v>
      </c>
      <c r="C64" s="2" t="str">
        <f ca="1">IFERROR(__xludf.DUMMYFUNCTION("IFERROR(STDEV.S(FILTER(J70:M70, J70:M70&lt;&gt;"""")))"),"")</f>
        <v/>
      </c>
      <c r="D64" s="47">
        <v>0</v>
      </c>
      <c r="E64" s="17"/>
      <c r="F64" s="17"/>
      <c r="G64" s="16">
        <v>1134</v>
      </c>
      <c r="I64" s="6">
        <v>6309628</v>
      </c>
      <c r="J64" s="7"/>
      <c r="K64" s="7" t="str">
        <f t="shared" si="1"/>
        <v/>
      </c>
      <c r="L64" s="6">
        <f t="shared" si="2"/>
        <v>7.155118152</v>
      </c>
      <c r="M64" s="21"/>
      <c r="N64" s="22"/>
    </row>
    <row r="65" spans="1:14" ht="14" x14ac:dyDescent="0.15">
      <c r="A65" s="50" t="s">
        <v>282</v>
      </c>
      <c r="B65" s="2">
        <f t="shared" si="0"/>
        <v>1.622154168</v>
      </c>
      <c r="C65" s="2" t="str">
        <f ca="1">IFERROR(__xludf.DUMMYFUNCTION("IFERROR(STDEV.S(FILTER(J71:M71, J71:M71&lt;&gt;"""")))"),"")</f>
        <v/>
      </c>
      <c r="D65" s="47">
        <v>0</v>
      </c>
      <c r="E65" s="17"/>
      <c r="F65" s="17"/>
      <c r="G65" s="16">
        <v>878</v>
      </c>
      <c r="I65" s="6">
        <v>1847556</v>
      </c>
      <c r="J65" s="7"/>
      <c r="K65" s="7" t="str">
        <f t="shared" si="1"/>
        <v/>
      </c>
      <c r="L65" s="6">
        <f t="shared" si="2"/>
        <v>1.622154168</v>
      </c>
      <c r="M65" s="21"/>
      <c r="N65" s="22"/>
    </row>
    <row r="66" spans="1:14" ht="14" x14ac:dyDescent="0.15">
      <c r="A66" s="1" t="s">
        <v>69</v>
      </c>
      <c r="B66" s="2">
        <f t="shared" si="0"/>
        <v>0.37822518800000005</v>
      </c>
      <c r="C66" s="2">
        <f ca="1">IFERROR(__xludf.DUMMYFUNCTION("IFERROR(STDEV.S(FILTER(J72:M72, J72:M72&lt;&gt;"""")))"),0.0293800208861513)</f>
        <v>2.9380020886151301E-2</v>
      </c>
      <c r="D66" s="47">
        <v>7.7678647059999995E-2</v>
      </c>
      <c r="E66" s="17"/>
      <c r="F66" s="17">
        <v>399</v>
      </c>
      <c r="G66" s="16">
        <v>103</v>
      </c>
      <c r="I66" s="6">
        <v>3470392</v>
      </c>
      <c r="J66" s="7"/>
      <c r="K66" s="7">
        <f t="shared" si="1"/>
        <v>0.39900000000000002</v>
      </c>
      <c r="L66" s="6">
        <f t="shared" si="2"/>
        <v>0.35745037600000001</v>
      </c>
      <c r="M66" s="21"/>
      <c r="N66" s="22"/>
    </row>
    <row r="67" spans="1:14" ht="14" x14ac:dyDescent="0.15">
      <c r="A67" s="1" t="s">
        <v>70</v>
      </c>
      <c r="B67" s="2">
        <f t="shared" si="0"/>
        <v>6.1854417030000004</v>
      </c>
      <c r="C67" s="2">
        <f ca="1">IFERROR(__xludf.DUMMYFUNCTION("IFERROR(STDEV.S(FILTER(J73:M73, J73:M73&lt;&gt;"""")))"),0.724702006308166)</f>
        <v>0.72470200630816595</v>
      </c>
      <c r="D67" s="47">
        <v>0.1171625312</v>
      </c>
      <c r="E67" s="17"/>
      <c r="F67" s="17">
        <v>5673</v>
      </c>
      <c r="G67" s="16">
        <v>4899</v>
      </c>
      <c r="I67" s="6">
        <v>1367194</v>
      </c>
      <c r="J67" s="7"/>
      <c r="K67" s="7">
        <f t="shared" si="1"/>
        <v>5.673</v>
      </c>
      <c r="L67" s="6">
        <f t="shared" si="2"/>
        <v>6.6978834060000008</v>
      </c>
      <c r="M67" s="21"/>
      <c r="N67" s="22"/>
    </row>
    <row r="68" spans="1:14" ht="14" x14ac:dyDescent="0.15">
      <c r="A68" s="50" t="s">
        <v>283</v>
      </c>
      <c r="B68" s="2">
        <f t="shared" si="0"/>
        <v>0.59433536400000009</v>
      </c>
      <c r="C68" s="2" t="str">
        <f ca="1">IFERROR(__xludf.DUMMYFUNCTION("IFERROR(STDEV.S(FILTER(J74:M74, J74:M74&lt;&gt;"""")))"),"")</f>
        <v/>
      </c>
      <c r="D68" s="47">
        <v>0</v>
      </c>
      <c r="E68" s="17"/>
      <c r="F68" s="17"/>
      <c r="G68" s="16">
        <v>483</v>
      </c>
      <c r="I68" s="6">
        <v>1230508</v>
      </c>
      <c r="J68" s="7"/>
      <c r="K68" s="7" t="str">
        <f t="shared" si="1"/>
        <v/>
      </c>
      <c r="L68" s="6">
        <f t="shared" si="2"/>
        <v>0.59433536400000009</v>
      </c>
      <c r="M68" s="21"/>
      <c r="N68" s="22"/>
    </row>
    <row r="69" spans="1:14" ht="14" x14ac:dyDescent="0.15">
      <c r="A69" s="1" t="s">
        <v>71</v>
      </c>
      <c r="B69" s="2">
        <f t="shared" si="0"/>
        <v>16.712231000000003</v>
      </c>
      <c r="C69" s="2">
        <f ca="1">IFERROR(__xludf.DUMMYFUNCTION("IFERROR(STDEV.S(FILTER(J75:M75, J75:M75&lt;&gt;"""")))"),0.88497100671265)</f>
        <v>0.88497100671265005</v>
      </c>
      <c r="D69" s="47">
        <v>5.2953492970000002E-2</v>
      </c>
      <c r="E69" s="17"/>
      <c r="F69" s="17">
        <v>17338</v>
      </c>
      <c r="G69" s="16">
        <v>125</v>
      </c>
      <c r="I69" s="6">
        <v>128691696</v>
      </c>
      <c r="J69" s="7"/>
      <c r="K69" s="7">
        <f t="shared" si="1"/>
        <v>17.338000000000001</v>
      </c>
      <c r="L69" s="6">
        <f t="shared" si="2"/>
        <v>16.086462000000001</v>
      </c>
      <c r="M69" s="21"/>
      <c r="N69" s="22"/>
    </row>
    <row r="70" spans="1:14" ht="28" x14ac:dyDescent="0.15">
      <c r="A70" s="26" t="s">
        <v>72</v>
      </c>
      <c r="B70" s="2">
        <f t="shared" si="0"/>
        <v>1.8406476000000001E-2</v>
      </c>
      <c r="C70" s="2" t="str">
        <f ca="1">IFERROR(__xludf.DUMMYFUNCTION("IFERROR(STDEV.S(FILTER(J79:M79, J79:M79&lt;&gt;"""")))"),"")</f>
        <v/>
      </c>
      <c r="D70" s="47">
        <v>0</v>
      </c>
      <c r="E70" s="3"/>
      <c r="F70" s="3"/>
      <c r="G70" s="16">
        <v>5262</v>
      </c>
      <c r="I70" s="6">
        <v>3498</v>
      </c>
      <c r="J70" s="7"/>
      <c r="K70" s="7" t="str">
        <f t="shared" si="1"/>
        <v/>
      </c>
      <c r="L70" s="6">
        <f t="shared" si="2"/>
        <v>1.8406476000000001E-2</v>
      </c>
      <c r="M70" s="23"/>
      <c r="N70" s="24"/>
    </row>
    <row r="71" spans="1:14" ht="14" x14ac:dyDescent="0.15">
      <c r="A71" s="26" t="s">
        <v>73</v>
      </c>
      <c r="B71" s="2">
        <f t="shared" si="0"/>
        <v>0.43281336600000003</v>
      </c>
      <c r="C71" s="2" t="str">
        <f ca="1">IFERROR(__xludf.DUMMYFUNCTION("IFERROR(STDEV.S(FILTER(J80:M80, J80:M80&lt;&gt;"""")))"),"")</f>
        <v/>
      </c>
      <c r="D71" s="47">
        <v>0</v>
      </c>
      <c r="E71" s="3"/>
      <c r="F71" s="3"/>
      <c r="G71" s="16">
        <v>7907</v>
      </c>
      <c r="I71" s="6">
        <v>54738</v>
      </c>
      <c r="J71" s="7"/>
      <c r="K71" s="7" t="str">
        <f t="shared" si="1"/>
        <v/>
      </c>
      <c r="L71" s="6">
        <f t="shared" si="2"/>
        <v>0.43281336600000003</v>
      </c>
      <c r="M71" s="23"/>
      <c r="N71" s="24"/>
    </row>
    <row r="72" spans="1:14" ht="14" x14ac:dyDescent="0.15">
      <c r="A72" s="26" t="s">
        <v>74</v>
      </c>
      <c r="B72" s="2">
        <f t="shared" si="0"/>
        <v>1.0341238500000001</v>
      </c>
      <c r="C72" s="2" t="str">
        <f ca="1">IFERROR(__xludf.DUMMYFUNCTION("IFERROR(STDEV.S(FILTER(J81:M81, J81:M81&lt;&gt;"""")))"),"")</f>
        <v/>
      </c>
      <c r="D72" s="47">
        <v>0</v>
      </c>
      <c r="E72" s="3"/>
      <c r="F72" s="3"/>
      <c r="G72" s="16">
        <v>1119</v>
      </c>
      <c r="I72" s="6">
        <v>924150</v>
      </c>
      <c r="J72" s="7"/>
      <c r="K72" s="7" t="str">
        <f t="shared" si="1"/>
        <v/>
      </c>
      <c r="L72" s="6">
        <f t="shared" si="2"/>
        <v>1.0341238500000001</v>
      </c>
      <c r="M72" s="23"/>
      <c r="N72" s="24"/>
    </row>
    <row r="73" spans="1:14" ht="14" x14ac:dyDescent="0.15">
      <c r="A73" s="26" t="s">
        <v>75</v>
      </c>
      <c r="B73" s="2">
        <f t="shared" si="0"/>
        <v>80.884130222500005</v>
      </c>
      <c r="C73" s="2">
        <f ca="1">IFERROR(__xludf.DUMMYFUNCTION("IFERROR(STDEV.S(FILTER(J82:M82, J82:M82&lt;&gt;"""")))"),0.344883946793402)</f>
        <v>0.34488394679340201</v>
      </c>
      <c r="D73" s="47">
        <v>4.2639260120000003E-3</v>
      </c>
      <c r="E73" s="3"/>
      <c r="F73" s="3">
        <v>81128</v>
      </c>
      <c r="G73" s="16">
        <v>14397</v>
      </c>
      <c r="I73" s="6">
        <v>5601185</v>
      </c>
      <c r="J73" s="7"/>
      <c r="K73" s="7">
        <f t="shared" si="1"/>
        <v>81.128</v>
      </c>
      <c r="L73" s="6">
        <f t="shared" si="2"/>
        <v>80.64026044500001</v>
      </c>
      <c r="M73" s="23"/>
      <c r="N73" s="24"/>
    </row>
    <row r="74" spans="1:14" ht="14" x14ac:dyDescent="0.15">
      <c r="A74" s="26" t="s">
        <v>76</v>
      </c>
      <c r="B74" s="2">
        <f t="shared" si="0"/>
        <v>514.11471387300003</v>
      </c>
      <c r="C74" s="2">
        <f ca="1">IFERROR(__xludf.DUMMYFUNCTION("IFERROR(STDEV.S(FILTER(J83:M83, J83:M83&lt;&gt;"""")))"),26.0773671878695)</f>
        <v>26.077367187869498</v>
      </c>
      <c r="D74" s="47">
        <v>5.0722857140000001E-2</v>
      </c>
      <c r="E74" s="3"/>
      <c r="F74" s="3">
        <v>527001</v>
      </c>
      <c r="G74" s="16">
        <v>7939</v>
      </c>
      <c r="I74" s="6">
        <v>66438828</v>
      </c>
      <c r="J74" s="7"/>
      <c r="K74" s="7">
        <f t="shared" si="1"/>
        <v>527.00099999999998</v>
      </c>
      <c r="L74" s="6">
        <f t="shared" si="2"/>
        <v>527.45785549200002</v>
      </c>
      <c r="M74" s="23">
        <v>527</v>
      </c>
      <c r="N74" s="24">
        <v>475</v>
      </c>
    </row>
    <row r="75" spans="1:14" ht="14" x14ac:dyDescent="0.15">
      <c r="A75" s="26" t="s">
        <v>77</v>
      </c>
      <c r="B75" s="2" t="str">
        <f t="shared" si="0"/>
        <v/>
      </c>
      <c r="C75" s="2" t="str">
        <f ca="1">IFERROR(__xludf.DUMMYFUNCTION("IFERROR(STDEV.S(FILTER(J84:M84, J84:M84&lt;&gt;"""")))"),"")</f>
        <v/>
      </c>
      <c r="D75" s="47" t="s">
        <v>277</v>
      </c>
      <c r="E75" s="3"/>
      <c r="F75" s="3"/>
      <c r="G75" s="16"/>
      <c r="I75" s="6">
        <v>303409</v>
      </c>
      <c r="J75" s="7"/>
      <c r="K75" s="7" t="str">
        <f t="shared" si="1"/>
        <v/>
      </c>
      <c r="L75" s="6" t="str">
        <f t="shared" si="2"/>
        <v/>
      </c>
      <c r="M75" s="23"/>
      <c r="N75" s="24"/>
    </row>
    <row r="76" spans="1:14" ht="28" x14ac:dyDescent="0.15">
      <c r="A76" s="26" t="s">
        <v>78</v>
      </c>
      <c r="B76" s="2">
        <f t="shared" si="0"/>
        <v>0.64236834000000009</v>
      </c>
      <c r="C76" s="2" t="str">
        <f ca="1">IFERROR(__xludf.DUMMYFUNCTION("IFERROR(STDEV.S(FILTER(J85:M85, J85:M85&lt;&gt;"""")))"),"")</f>
        <v/>
      </c>
      <c r="D76" s="47">
        <v>0</v>
      </c>
      <c r="E76" s="3"/>
      <c r="F76" s="3"/>
      <c r="G76" s="16">
        <v>2285</v>
      </c>
      <c r="I76" s="6">
        <v>281124</v>
      </c>
      <c r="J76" s="7"/>
      <c r="K76" s="7" t="str">
        <f t="shared" si="1"/>
        <v/>
      </c>
      <c r="L76" s="6">
        <f t="shared" si="2"/>
        <v>0.64236834000000009</v>
      </c>
      <c r="M76" s="23"/>
      <c r="N76" s="24"/>
    </row>
    <row r="77" spans="1:14" ht="14" x14ac:dyDescent="0.15">
      <c r="A77" s="26" t="s">
        <v>79</v>
      </c>
      <c r="B77" s="2">
        <f t="shared" si="0"/>
        <v>2.8334254200000002</v>
      </c>
      <c r="C77" s="2">
        <f ca="1">IFERROR(__xludf.DUMMYFUNCTION("IFERROR(STDEV.S(FILTER(J86:M86, J86:M86&lt;&gt;"""")))"),0.507101034158236)</f>
        <v>0.50710103415823604</v>
      </c>
      <c r="D77" s="47">
        <v>0.17897101879999999</v>
      </c>
      <c r="E77" s="3"/>
      <c r="F77" s="3">
        <v>3192</v>
      </c>
      <c r="G77" s="16">
        <v>996</v>
      </c>
      <c r="I77" s="6">
        <v>2484790</v>
      </c>
      <c r="J77" s="7"/>
      <c r="K77" s="7">
        <f t="shared" si="1"/>
        <v>3.1920000000000002</v>
      </c>
      <c r="L77" s="6">
        <f t="shared" si="2"/>
        <v>2.4748508400000002</v>
      </c>
      <c r="M77" s="23"/>
      <c r="N77" s="24"/>
    </row>
    <row r="78" spans="1:14" ht="14" x14ac:dyDescent="0.15">
      <c r="A78" s="26" t="s">
        <v>80</v>
      </c>
      <c r="B78" s="2">
        <f t="shared" si="0"/>
        <v>0.50719542400000006</v>
      </c>
      <c r="C78" s="2" t="str">
        <f ca="1">IFERROR(__xludf.DUMMYFUNCTION("IFERROR(STDEV.S(FILTER(J87:M87, J87:M87&lt;&gt;"""")))"),"")</f>
        <v/>
      </c>
      <c r="D78" s="47">
        <v>0</v>
      </c>
      <c r="E78" s="3"/>
      <c r="F78" s="3"/>
      <c r="G78" s="16">
        <v>188</v>
      </c>
      <c r="I78" s="6">
        <v>2697848</v>
      </c>
      <c r="J78" s="7"/>
      <c r="K78" s="7" t="str">
        <f t="shared" si="1"/>
        <v/>
      </c>
      <c r="L78" s="6">
        <f t="shared" si="2"/>
        <v>0.50719542400000006</v>
      </c>
      <c r="M78" s="23"/>
      <c r="N78" s="24"/>
    </row>
    <row r="79" spans="1:14" ht="14" x14ac:dyDescent="0.15">
      <c r="A79" s="26" t="s">
        <v>81</v>
      </c>
      <c r="B79" s="2">
        <f t="shared" si="0"/>
        <v>14.465752179000001</v>
      </c>
      <c r="C79" s="2">
        <f ca="1">IFERROR(__xludf.DUMMYFUNCTION("IFERROR(STDEV.S(FILTER(J88:M88, J88:M88&lt;&gt;"""")))"),0.31077651190284)</f>
        <v>0.31077651190284</v>
      </c>
      <c r="D79" s="47">
        <v>2.1483605419999999E-2</v>
      </c>
      <c r="E79" s="3"/>
      <c r="F79" s="3">
        <v>14246</v>
      </c>
      <c r="G79" s="16">
        <v>3857</v>
      </c>
      <c r="I79" s="6">
        <v>3807494</v>
      </c>
      <c r="J79" s="7"/>
      <c r="K79" s="7">
        <f t="shared" si="1"/>
        <v>14.246</v>
      </c>
      <c r="L79" s="6">
        <f t="shared" si="2"/>
        <v>14.685504358000001</v>
      </c>
      <c r="M79" s="23"/>
      <c r="N79" s="24"/>
    </row>
    <row r="80" spans="1:14" ht="14" x14ac:dyDescent="0.15">
      <c r="A80" s="26" t="s">
        <v>82</v>
      </c>
      <c r="B80" s="2">
        <f t="shared" si="0"/>
        <v>531.34132451000005</v>
      </c>
      <c r="C80" s="2">
        <f ca="1">IFERROR(__xludf.DUMMYFUNCTION("IFERROR(STDEV.S(FILTER(J89:M89, J89:M89&lt;&gt;"""")))"),32.6232633441499)</f>
        <v>32.623263344149898</v>
      </c>
      <c r="D80" s="47">
        <v>6.1397941099999999E-2</v>
      </c>
      <c r="E80" s="3"/>
      <c r="F80" s="3">
        <v>520003</v>
      </c>
      <c r="G80" s="16">
        <v>6060</v>
      </c>
      <c r="I80" s="6">
        <v>84548234</v>
      </c>
      <c r="J80" s="7"/>
      <c r="K80" s="7">
        <f t="shared" si="1"/>
        <v>520.00300000000004</v>
      </c>
      <c r="L80" s="6">
        <f t="shared" si="2"/>
        <v>512.36229804000004</v>
      </c>
      <c r="M80" s="23">
        <v>513</v>
      </c>
      <c r="N80" s="24">
        <v>580</v>
      </c>
    </row>
    <row r="81" spans="1:14" ht="14" x14ac:dyDescent="0.15">
      <c r="A81" s="26" t="s">
        <v>83</v>
      </c>
      <c r="B81" s="2">
        <f t="shared" si="0"/>
        <v>22.936239440000001</v>
      </c>
      <c r="C81" s="2">
        <f ca="1">IFERROR(__xludf.DUMMYFUNCTION("IFERROR(STDEV.S(FILTER(J90:M90, J90:M90&lt;&gt;"""")))"),0.32634471361281)</f>
        <v>0.32634471361280998</v>
      </c>
      <c r="D81" s="47">
        <v>1.4228344380000001E-2</v>
      </c>
      <c r="E81" s="17"/>
      <c r="F81" s="17">
        <v>23167</v>
      </c>
      <c r="G81" s="16">
        <v>672</v>
      </c>
      <c r="I81" s="6">
        <v>33787915</v>
      </c>
      <c r="J81" s="7"/>
      <c r="K81" s="7">
        <f t="shared" si="1"/>
        <v>23.167000000000002</v>
      </c>
      <c r="L81" s="6">
        <f t="shared" si="2"/>
        <v>22.705478880000001</v>
      </c>
      <c r="M81" s="21"/>
      <c r="N81" s="22"/>
    </row>
    <row r="82" spans="1:14" ht="14" x14ac:dyDescent="0.15">
      <c r="A82" s="26" t="s">
        <v>84</v>
      </c>
      <c r="B82" s="2">
        <f t="shared" si="0"/>
        <v>0.294509943</v>
      </c>
      <c r="C82" s="2" t="str">
        <f ca="1">IFERROR(__xludf.DUMMYFUNCTION("IFERROR(STDEV.S(FILTER(J91:M91, J91:M91&lt;&gt;"""")))"),"")</f>
        <v/>
      </c>
      <c r="D82" s="47">
        <v>0</v>
      </c>
      <c r="E82" s="17"/>
      <c r="F82" s="17"/>
      <c r="G82" s="16">
        <v>7651</v>
      </c>
      <c r="I82" s="6">
        <v>38493</v>
      </c>
      <c r="J82" s="7"/>
      <c r="K82" s="7" t="str">
        <f t="shared" si="1"/>
        <v/>
      </c>
      <c r="L82" s="6">
        <f t="shared" si="2"/>
        <v>0.294509943</v>
      </c>
      <c r="M82" s="21"/>
      <c r="N82" s="22"/>
    </row>
    <row r="83" spans="1:14" ht="14" x14ac:dyDescent="0.15">
      <c r="A83" s="26" t="s">
        <v>85</v>
      </c>
      <c r="B83" s="2">
        <f t="shared" si="0"/>
        <v>48.262445237500003</v>
      </c>
      <c r="C83" s="2">
        <f ca="1">IFERROR(__xludf.DUMMYFUNCTION("IFERROR(STDEV.S(FILTER(J92:M92, J92:M92&lt;&gt;"""")))"),0.915625835766371)</f>
        <v>0.91562583576637102</v>
      </c>
      <c r="D83" s="47">
        <v>1.8971807819999999E-2</v>
      </c>
      <c r="E83" s="17"/>
      <c r="F83" s="17">
        <v>47615</v>
      </c>
      <c r="G83" s="16">
        <v>4775</v>
      </c>
      <c r="I83" s="6">
        <v>10242909</v>
      </c>
      <c r="J83" s="7"/>
      <c r="K83" s="7">
        <f t="shared" si="1"/>
        <v>47.615000000000002</v>
      </c>
      <c r="L83" s="6">
        <f t="shared" si="2"/>
        <v>48.909890475000005</v>
      </c>
      <c r="M83" s="21"/>
      <c r="N83" s="22"/>
    </row>
    <row r="84" spans="1:14" ht="14" x14ac:dyDescent="0.15">
      <c r="A84" s="26" t="s">
        <v>86</v>
      </c>
      <c r="B84" s="2">
        <f t="shared" si="0"/>
        <v>0.233366349</v>
      </c>
      <c r="C84" s="2" t="str">
        <f ca="1">IFERROR(__xludf.DUMMYFUNCTION("IFERROR(STDEV.S(FILTER(J94:M94, J94:M94&lt;&gt;"""")))"),"")</f>
        <v/>
      </c>
      <c r="D84" s="47">
        <v>0</v>
      </c>
      <c r="E84" s="17"/>
      <c r="F84" s="17"/>
      <c r="G84" s="16">
        <v>1993</v>
      </c>
      <c r="I84" s="6">
        <v>117093</v>
      </c>
      <c r="J84" s="7"/>
      <c r="K84" s="7" t="str">
        <f t="shared" si="1"/>
        <v/>
      </c>
      <c r="L84" s="6">
        <f t="shared" si="2"/>
        <v>0.233366349</v>
      </c>
      <c r="M84" s="21"/>
      <c r="N84" s="22"/>
    </row>
    <row r="85" spans="1:14" ht="14" x14ac:dyDescent="0.15">
      <c r="A85" s="26" t="s">
        <v>87</v>
      </c>
      <c r="B85" s="2">
        <f t="shared" si="0"/>
        <v>1.6963698010000001</v>
      </c>
      <c r="C85" s="2" t="str">
        <f ca="1">IFERROR(__xludf.DUMMYFUNCTION("IFERROR(STDEV.S(FILTER(J95:M95, J95:M95&lt;&gt;"""")))"),"")</f>
        <v/>
      </c>
      <c r="D85" s="47">
        <v>0</v>
      </c>
      <c r="E85" s="17"/>
      <c r="F85" s="17"/>
      <c r="G85" s="16">
        <v>10187</v>
      </c>
      <c r="I85" s="6">
        <v>166523</v>
      </c>
      <c r="J85" s="7"/>
      <c r="K85" s="7" t="str">
        <f t="shared" si="1"/>
        <v/>
      </c>
      <c r="L85" s="6">
        <f t="shared" si="2"/>
        <v>1.6963698010000001</v>
      </c>
      <c r="M85" s="21"/>
      <c r="N85" s="22"/>
    </row>
    <row r="86" spans="1:14" ht="14" x14ac:dyDescent="0.15">
      <c r="A86" s="26" t="s">
        <v>88</v>
      </c>
      <c r="B86" s="2">
        <f t="shared" si="0"/>
        <v>13.336066698</v>
      </c>
      <c r="C86" s="2">
        <f ca="1">IFERROR(__xludf.DUMMYFUNCTION("IFERROR(STDEV.S(FILTER(J96:M96, J96:M96&lt;&gt;"""")))"),0.0566628677111069)</f>
        <v>5.6662867711106901E-2</v>
      </c>
      <c r="D86" s="47">
        <v>4.2488440550000001E-3</v>
      </c>
      <c r="E86" s="17"/>
      <c r="F86" s="17">
        <v>13296</v>
      </c>
      <c r="G86" s="16">
        <v>738</v>
      </c>
      <c r="I86" s="6">
        <v>18124842</v>
      </c>
      <c r="J86" s="7"/>
      <c r="K86" s="7">
        <f t="shared" si="1"/>
        <v>13.296000000000001</v>
      </c>
      <c r="L86" s="6">
        <f t="shared" si="2"/>
        <v>13.376133396</v>
      </c>
      <c r="M86" s="21"/>
      <c r="N86" s="22"/>
    </row>
    <row r="87" spans="1:14" ht="14" x14ac:dyDescent="0.15">
      <c r="A87" s="26" t="s">
        <v>89</v>
      </c>
      <c r="B87" s="2">
        <f t="shared" si="0"/>
        <v>3.1547977110000001</v>
      </c>
      <c r="C87" s="2" t="str">
        <f ca="1">IFERROR(__xludf.DUMMYFUNCTION("IFERROR(STDEV.S(FILTER(J97:M97, J97:M97&lt;&gt;"""")))"),"")</f>
        <v/>
      </c>
      <c r="D87" s="47">
        <v>0</v>
      </c>
      <c r="E87" s="17"/>
      <c r="F87" s="17"/>
      <c r="G87" s="16">
        <v>219</v>
      </c>
      <c r="I87" s="6">
        <v>14405469</v>
      </c>
      <c r="J87" s="7"/>
      <c r="K87" s="7" t="str">
        <f t="shared" si="1"/>
        <v/>
      </c>
      <c r="L87" s="6">
        <f t="shared" si="2"/>
        <v>3.1547977110000001</v>
      </c>
      <c r="M87" s="21"/>
      <c r="N87" s="22"/>
    </row>
    <row r="88" spans="1:14" ht="14" x14ac:dyDescent="0.15">
      <c r="A88" s="26" t="s">
        <v>90</v>
      </c>
      <c r="B88" s="2">
        <f t="shared" si="0"/>
        <v>8.1827072000000001E-2</v>
      </c>
      <c r="C88" s="2" t="str">
        <f ca="1">IFERROR(__xludf.DUMMYFUNCTION("IFERROR(STDEV.S(FILTER(J98:M98, J98:M98&lt;&gt;"""")))"),"")</f>
        <v/>
      </c>
      <c r="D88" s="47">
        <v>0</v>
      </c>
      <c r="E88" s="17"/>
      <c r="F88" s="17"/>
      <c r="G88" s="16">
        <v>38</v>
      </c>
      <c r="I88" s="6">
        <v>2153344</v>
      </c>
      <c r="J88" s="7"/>
      <c r="K88" s="7" t="str">
        <f t="shared" si="1"/>
        <v/>
      </c>
      <c r="L88" s="6">
        <f t="shared" si="2"/>
        <v>8.1827072000000001E-2</v>
      </c>
      <c r="M88" s="21"/>
      <c r="N88" s="22"/>
    </row>
    <row r="89" spans="1:14" ht="14" x14ac:dyDescent="0.15">
      <c r="A89" s="26" t="s">
        <v>91</v>
      </c>
      <c r="B89" s="2">
        <f t="shared" si="0"/>
        <v>1.1651676</v>
      </c>
      <c r="C89" s="2" t="str">
        <f ca="1">IFERROR(__xludf.DUMMYFUNCTION("IFERROR(STDEV.S(FILTER(J99:M99, J99:M99&lt;&gt;"""")))"),"")</f>
        <v/>
      </c>
      <c r="D89" s="47">
        <v>0</v>
      </c>
      <c r="E89" s="17"/>
      <c r="F89" s="17"/>
      <c r="G89" s="16">
        <v>1410</v>
      </c>
      <c r="I89" s="6">
        <v>826360</v>
      </c>
      <c r="J89" s="7"/>
      <c r="K89" s="7" t="str">
        <f t="shared" si="1"/>
        <v/>
      </c>
      <c r="L89" s="6">
        <f t="shared" si="2"/>
        <v>1.1651676</v>
      </c>
      <c r="M89" s="21"/>
      <c r="N89" s="22"/>
    </row>
    <row r="90" spans="1:14" ht="14" x14ac:dyDescent="0.15">
      <c r="A90" s="26" t="s">
        <v>92</v>
      </c>
      <c r="B90" s="2">
        <f t="shared" si="0"/>
        <v>1.02968309</v>
      </c>
      <c r="C90" s="2">
        <f ca="1">IFERROR(__xludf.DUMMYFUNCTION("IFERROR(STDEV.S(FILTER(J100:M100, J100:M100&lt;&gt;"""")))"),0.025007665702664)</f>
        <v>2.5007665702663998E-2</v>
      </c>
      <c r="D90" s="47">
        <v>2.4286759630000002E-2</v>
      </c>
      <c r="E90" s="17"/>
      <c r="F90" s="17">
        <v>1012</v>
      </c>
      <c r="G90" s="16">
        <v>90</v>
      </c>
      <c r="I90" s="6">
        <v>11637402</v>
      </c>
      <c r="J90" s="7"/>
      <c r="K90" s="7">
        <f t="shared" si="1"/>
        <v>1.012</v>
      </c>
      <c r="L90" s="6">
        <f t="shared" si="2"/>
        <v>1.04736618</v>
      </c>
      <c r="M90" s="21"/>
      <c r="N90" s="22"/>
    </row>
    <row r="91" spans="1:14" ht="14" x14ac:dyDescent="0.15">
      <c r="A91" s="26" t="s">
        <v>93</v>
      </c>
      <c r="B91" s="2">
        <f t="shared" si="0"/>
        <v>11.7986140525</v>
      </c>
      <c r="C91" s="2">
        <f ca="1">IFERROR(__xludf.DUMMYFUNCTION("IFERROR(STDEV.S(FILTER(J101:M101, J101:M101&lt;&gt;"""")))"),0.641507145128521)</f>
        <v>0.64150714512852103</v>
      </c>
      <c r="D91" s="47">
        <v>5.4371398389999999E-2</v>
      </c>
      <c r="E91" s="17"/>
      <c r="F91" s="17">
        <v>11345</v>
      </c>
      <c r="G91" s="16">
        <v>1151</v>
      </c>
      <c r="I91" s="6">
        <v>10644855</v>
      </c>
      <c r="J91" s="7"/>
      <c r="K91" s="7">
        <f t="shared" si="1"/>
        <v>11.345000000000001</v>
      </c>
      <c r="L91" s="6">
        <f t="shared" si="2"/>
        <v>12.252228105</v>
      </c>
      <c r="M91" s="21"/>
      <c r="N91" s="22"/>
    </row>
    <row r="92" spans="1:14" ht="14" x14ac:dyDescent="0.15">
      <c r="A92" s="26" t="s">
        <v>94</v>
      </c>
      <c r="B92" s="2">
        <f t="shared" si="0"/>
        <v>34.8303910375</v>
      </c>
      <c r="C92" s="2">
        <f ca="1">IFERROR(__xludf.DUMMYFUNCTION("IFERROR(STDEV.S(FILTER(J103:M103, J103:M103&lt;&gt;"""")))"),0.969597493252044)</f>
        <v>0.96959749325204403</v>
      </c>
      <c r="D92" s="47">
        <v>2.783768612E-2</v>
      </c>
      <c r="E92" s="17"/>
      <c r="F92" s="17">
        <v>35516</v>
      </c>
      <c r="G92" s="16">
        <v>3525</v>
      </c>
      <c r="I92" s="6">
        <v>9686463</v>
      </c>
      <c r="J92" s="7"/>
      <c r="K92" s="7">
        <f t="shared" si="1"/>
        <v>35.515999999999998</v>
      </c>
      <c r="L92" s="6">
        <f t="shared" si="2"/>
        <v>34.144782075000002</v>
      </c>
      <c r="M92" s="21"/>
      <c r="N92" s="22"/>
    </row>
    <row r="93" spans="1:14" ht="14" x14ac:dyDescent="0.15">
      <c r="A93" s="26" t="s">
        <v>95</v>
      </c>
      <c r="B93" s="2">
        <f t="shared" si="0"/>
        <v>20.447040657500004</v>
      </c>
      <c r="C93" s="2">
        <f ca="1">IFERROR(__xludf.DUMMYFUNCTION("IFERROR(STDEV.S(FILTER(J104:M104, J104:M104&lt;&gt;"""")))"),0.288557065112022)</f>
        <v>0.288557065112022</v>
      </c>
      <c r="D93" s="47">
        <v>1.4112412160000001E-2</v>
      </c>
      <c r="E93" s="17"/>
      <c r="F93" s="17">
        <v>20243</v>
      </c>
      <c r="G93" s="16">
        <v>53285</v>
      </c>
      <c r="I93" s="6">
        <v>387559</v>
      </c>
      <c r="J93" s="7"/>
      <c r="K93" s="7">
        <f t="shared" si="1"/>
        <v>20.243000000000002</v>
      </c>
      <c r="L93" s="6">
        <f t="shared" si="2"/>
        <v>20.651081315000003</v>
      </c>
      <c r="M93" s="21"/>
      <c r="N93" s="22"/>
    </row>
    <row r="94" spans="1:14" ht="14" x14ac:dyDescent="0.15">
      <c r="A94" s="26" t="s">
        <v>96</v>
      </c>
      <c r="B94" s="2">
        <f t="shared" si="0"/>
        <v>1855.32095876725</v>
      </c>
      <c r="C94" s="2">
        <f ca="1">IFERROR(__xludf.DUMMYFUNCTION("IFERROR(STDEV.S(FILTER(J105:M105, J105:M105&lt;&gt;"""")))"),96.8177252434125)</f>
        <v>96.817725243412497</v>
      </c>
      <c r="D94" s="47">
        <v>5.2183814770000003E-2</v>
      </c>
      <c r="E94" s="17"/>
      <c r="F94" s="17">
        <v>1814062</v>
      </c>
      <c r="G94" s="16">
        <v>1377</v>
      </c>
      <c r="I94" s="6">
        <v>1438069597</v>
      </c>
      <c r="J94" s="7"/>
      <c r="K94" s="7">
        <f t="shared" si="1"/>
        <v>1814.0620000000001</v>
      </c>
      <c r="L94" s="6">
        <f t="shared" si="2"/>
        <v>1980.2218350690002</v>
      </c>
      <c r="M94" s="21">
        <v>1874</v>
      </c>
      <c r="N94" s="22">
        <v>1753</v>
      </c>
    </row>
    <row r="95" spans="1:14" ht="14" x14ac:dyDescent="0.15">
      <c r="A95" s="26" t="s">
        <v>97</v>
      </c>
      <c r="B95" s="2">
        <f t="shared" si="0"/>
        <v>330.47357648900004</v>
      </c>
      <c r="C95" s="2">
        <f ca="1">IFERROR(__xludf.DUMMYFUNCTION("IFERROR(STDEV.S(FILTER(J106:M106, J106:M106&lt;&gt;"""")))"),31.4958257085921)</f>
        <v>31.495825708592101</v>
      </c>
      <c r="D95" s="47">
        <v>9.5305125579999997E-2</v>
      </c>
      <c r="E95" s="3"/>
      <c r="F95" s="3">
        <v>376805</v>
      </c>
      <c r="G95" s="16">
        <v>1117</v>
      </c>
      <c r="I95" s="6">
        <v>281190068</v>
      </c>
      <c r="J95" s="7"/>
      <c r="K95" s="7">
        <f t="shared" si="1"/>
        <v>376.80500000000001</v>
      </c>
      <c r="L95" s="6">
        <f t="shared" si="2"/>
        <v>314.08930595600003</v>
      </c>
      <c r="M95" s="23">
        <v>323</v>
      </c>
      <c r="N95" s="24">
        <v>308</v>
      </c>
    </row>
    <row r="96" spans="1:14" ht="14" x14ac:dyDescent="0.15">
      <c r="A96" s="26" t="s">
        <v>98</v>
      </c>
      <c r="B96" s="2">
        <f t="shared" si="0"/>
        <v>368.88426256700001</v>
      </c>
      <c r="C96" s="2">
        <f ca="1">IFERROR(__xludf.DUMMYFUNCTION("IFERROR(STDEV.S(FILTER(J107:M107, J107:M107&lt;&gt;"""")))"),6.99369695078326)</f>
        <v>6.99369695078326</v>
      </c>
      <c r="D96" s="47">
        <v>1.8959054810000001E-2</v>
      </c>
      <c r="E96" s="3"/>
      <c r="F96" s="3">
        <v>367669</v>
      </c>
      <c r="G96" s="16">
        <v>4071</v>
      </c>
      <c r="I96" s="6">
        <v>90608708</v>
      </c>
      <c r="J96" s="7"/>
      <c r="K96" s="7">
        <f t="shared" si="1"/>
        <v>367.66899999999998</v>
      </c>
      <c r="L96" s="6">
        <f t="shared" si="2"/>
        <v>368.86805026800005</v>
      </c>
      <c r="M96" s="23">
        <v>378</v>
      </c>
      <c r="N96" s="24">
        <v>361</v>
      </c>
    </row>
    <row r="97" spans="1:14" ht="14" x14ac:dyDescent="0.15">
      <c r="A97" s="26" t="s">
        <v>99</v>
      </c>
      <c r="B97" s="2">
        <f t="shared" si="0"/>
        <v>125.324697445</v>
      </c>
      <c r="C97" s="2">
        <f ca="1">IFERROR(__xludf.DUMMYFUNCTION("IFERROR(STDEV.S(FILTER(J108:M108, J108:M108&lt;&gt;"""")))"),11.6280917872159)</f>
        <v>11.628091787215901</v>
      </c>
      <c r="D97" s="47">
        <v>9.2783721200000002E-2</v>
      </c>
      <c r="E97" s="3"/>
      <c r="F97" s="3">
        <v>133547</v>
      </c>
      <c r="G97" s="16">
        <v>2598</v>
      </c>
      <c r="I97" s="6">
        <v>45074055</v>
      </c>
      <c r="J97" s="7"/>
      <c r="K97" s="7">
        <f t="shared" si="1"/>
        <v>133.547</v>
      </c>
      <c r="L97" s="6">
        <f t="shared" si="2"/>
        <v>117.10239489000001</v>
      </c>
      <c r="M97" s="23"/>
      <c r="N97" s="24"/>
    </row>
    <row r="98" spans="1:14" ht="14" x14ac:dyDescent="0.15">
      <c r="A98" s="26" t="s">
        <v>100</v>
      </c>
      <c r="B98" s="2">
        <f t="shared" si="0"/>
        <v>31.831524617500001</v>
      </c>
      <c r="C98" s="2">
        <f ca="1">IFERROR(__xludf.DUMMYFUNCTION("IFERROR(STDEV.S(FILTER(J109:M109, J109:M109&lt;&gt;"""")))"),0.658351227687049)</f>
        <v>0.65835122768704901</v>
      </c>
      <c r="D98" s="47">
        <v>2.0682365540000001E-2</v>
      </c>
      <c r="E98" s="3"/>
      <c r="F98" s="3">
        <v>31366</v>
      </c>
      <c r="G98" s="16">
        <v>6215</v>
      </c>
      <c r="I98" s="6">
        <v>5196629</v>
      </c>
      <c r="J98" s="7"/>
      <c r="K98" s="7">
        <f t="shared" si="1"/>
        <v>31.366</v>
      </c>
      <c r="L98" s="6">
        <f t="shared" si="2"/>
        <v>32.297049235000003</v>
      </c>
      <c r="M98" s="23"/>
      <c r="N98" s="24"/>
    </row>
    <row r="99" spans="1:14" ht="14" x14ac:dyDescent="0.15">
      <c r="A99" s="26" t="s">
        <v>101</v>
      </c>
      <c r="B99" s="2">
        <f t="shared" si="0"/>
        <v>76.400378044500002</v>
      </c>
      <c r="C99" s="2">
        <f ca="1">IFERROR(__xludf.DUMMYFUNCTION("IFERROR(STDEV.S(FILTER(J110:M110, J110:M110&lt;&gt;"""")))"),1.89982344992614)</f>
        <v>1.8998234499261399</v>
      </c>
      <c r="D99" s="47">
        <v>2.4866676040000001E-2</v>
      </c>
      <c r="E99" s="3"/>
      <c r="F99" s="3">
        <v>75057</v>
      </c>
      <c r="G99" s="16">
        <v>8399</v>
      </c>
      <c r="I99" s="6">
        <v>9256311</v>
      </c>
      <c r="J99" s="7"/>
      <c r="K99" s="7">
        <f t="shared" si="1"/>
        <v>75.057000000000002</v>
      </c>
      <c r="L99" s="6">
        <f t="shared" si="2"/>
        <v>77.743756089000001</v>
      </c>
      <c r="M99" s="23"/>
      <c r="N99" s="24"/>
    </row>
    <row r="100" spans="1:14" ht="14" x14ac:dyDescent="0.15">
      <c r="A100" s="26" t="s">
        <v>102</v>
      </c>
      <c r="B100" s="2">
        <f t="shared" si="0"/>
        <v>269.41013898</v>
      </c>
      <c r="C100" s="2">
        <f ca="1">IFERROR(__xludf.DUMMYFUNCTION("IFERROR(STDEV.S(FILTER(J111:M111, J111:M111&lt;&gt;"""")))"),9.74450824931091)</f>
        <v>9.7445082493109094</v>
      </c>
      <c r="D100" s="47">
        <v>3.6169790370000003E-2</v>
      </c>
      <c r="E100" s="3"/>
      <c r="F100" s="3">
        <v>264273</v>
      </c>
      <c r="G100" s="16">
        <v>4460</v>
      </c>
      <c r="I100" s="6">
        <v>59499452</v>
      </c>
      <c r="J100" s="7"/>
      <c r="K100" s="7">
        <f t="shared" si="1"/>
        <v>264.27300000000002</v>
      </c>
      <c r="L100" s="6">
        <f t="shared" si="2"/>
        <v>265.36755592000003</v>
      </c>
      <c r="M100" s="23">
        <v>264</v>
      </c>
      <c r="N100" s="24">
        <v>284</v>
      </c>
    </row>
    <row r="101" spans="1:14" ht="14" x14ac:dyDescent="0.15">
      <c r="A101" s="26" t="s">
        <v>103</v>
      </c>
      <c r="B101" s="2">
        <f t="shared" si="0"/>
        <v>4.5239855275000007</v>
      </c>
      <c r="C101" s="2">
        <f ca="1">IFERROR(__xludf.DUMMYFUNCTION("IFERROR(STDEV.S(FILTER(J112:M112, J112:M112&lt;&gt;"""")))"),0.120187685595931)</f>
        <v>0.120187685595931</v>
      </c>
      <c r="D101" s="47">
        <v>2.6566770579999999E-2</v>
      </c>
      <c r="E101" s="3"/>
      <c r="F101" s="3">
        <v>4439</v>
      </c>
      <c r="G101" s="16">
        <v>1623</v>
      </c>
      <c r="I101" s="6">
        <v>2839785</v>
      </c>
      <c r="J101" s="7"/>
      <c r="K101" s="7">
        <f t="shared" si="1"/>
        <v>4.4390000000000001</v>
      </c>
      <c r="L101" s="6">
        <f t="shared" si="2"/>
        <v>4.6089710550000005</v>
      </c>
      <c r="M101" s="21"/>
      <c r="N101" s="22"/>
    </row>
    <row r="102" spans="1:14" ht="14" x14ac:dyDescent="0.15">
      <c r="A102" s="26" t="s">
        <v>104</v>
      </c>
      <c r="B102" s="2">
        <f t="shared" si="0"/>
        <v>1010.448296085</v>
      </c>
      <c r="C102" s="2">
        <f ca="1">IFERROR(__xludf.DUMMYFUNCTION("IFERROR(STDEV.S(FILTER(J113:M113, J113:M113&lt;&gt;"""")))"),19.5393978495619)</f>
        <v>19.539397849561901</v>
      </c>
      <c r="D102" s="47">
        <v>1.9337355430000001E-2</v>
      </c>
      <c r="E102" s="3"/>
      <c r="F102" s="3">
        <v>983464</v>
      </c>
      <c r="G102" s="16">
        <v>8220</v>
      </c>
      <c r="I102" s="6">
        <v>124370947</v>
      </c>
      <c r="J102" s="7"/>
      <c r="K102" s="7">
        <f t="shared" si="1"/>
        <v>983.46400000000006</v>
      </c>
      <c r="L102" s="6">
        <f t="shared" si="2"/>
        <v>1022.3291843400001</v>
      </c>
      <c r="M102" s="21">
        <v>1009</v>
      </c>
      <c r="N102" s="22">
        <v>1027</v>
      </c>
    </row>
    <row r="103" spans="1:14" ht="14" x14ac:dyDescent="0.15">
      <c r="A103" s="26" t="s">
        <v>105</v>
      </c>
      <c r="B103" s="2">
        <f t="shared" si="0"/>
        <v>22.363103211000002</v>
      </c>
      <c r="C103" s="2">
        <f ca="1">IFERROR(__xludf.DUMMYFUNCTION("IFERROR(STDEV.S(FILTER(J114:M114, J114:M114&lt;&gt;"""")))"),0.274211468704394)</f>
        <v>0.274211468704394</v>
      </c>
      <c r="D103" s="47">
        <v>1.226178076E-2</v>
      </c>
      <c r="E103" s="3"/>
      <c r="F103" s="3">
        <v>22557</v>
      </c>
      <c r="G103" s="16">
        <v>1938</v>
      </c>
      <c r="I103" s="6">
        <v>11439219</v>
      </c>
      <c r="J103" s="7"/>
      <c r="K103" s="7">
        <f t="shared" si="1"/>
        <v>22.557000000000002</v>
      </c>
      <c r="L103" s="6">
        <f t="shared" si="2"/>
        <v>22.169206422000002</v>
      </c>
      <c r="M103" s="23"/>
      <c r="N103" s="24"/>
    </row>
    <row r="104" spans="1:14" ht="14" x14ac:dyDescent="0.15">
      <c r="A104" s="26" t="s">
        <v>106</v>
      </c>
      <c r="B104" s="2">
        <f t="shared" si="0"/>
        <v>114.40731391200001</v>
      </c>
      <c r="C104" s="2">
        <f ca="1">IFERROR(__xludf.DUMMYFUNCTION("IFERROR(STDEV.S(FILTER(J115:M115, J115:M115&lt;&gt;"""")))"),2.46042673314426)</f>
        <v>2.46042673314426</v>
      </c>
      <c r="D104" s="47">
        <v>2.150585176E-2</v>
      </c>
      <c r="E104" s="3"/>
      <c r="F104" s="3">
        <v>113552</v>
      </c>
      <c r="G104" s="16">
        <v>5808</v>
      </c>
      <c r="I104" s="6">
        <v>20330106</v>
      </c>
      <c r="J104" s="7"/>
      <c r="K104" s="7">
        <f t="shared" si="1"/>
        <v>113.55200000000001</v>
      </c>
      <c r="L104" s="6">
        <f t="shared" si="2"/>
        <v>118.077255648</v>
      </c>
      <c r="M104" s="23">
        <v>113</v>
      </c>
      <c r="N104" s="24">
        <v>113</v>
      </c>
    </row>
    <row r="105" spans="1:14" ht="14" x14ac:dyDescent="0.15">
      <c r="A105" s="26" t="s">
        <v>107</v>
      </c>
      <c r="B105" s="2">
        <f t="shared" si="0"/>
        <v>12.466460273500001</v>
      </c>
      <c r="C105" s="2">
        <f ca="1">IFERROR(__xludf.DUMMYFUNCTION("IFERROR(STDEV.S(FILTER(J116:M116, J116:M116&lt;&gt;"""")))"),0.334517689256322)</f>
        <v>0.33451768925632203</v>
      </c>
      <c r="D105" s="47">
        <v>2.6833413970000001E-2</v>
      </c>
      <c r="E105" s="3"/>
      <c r="F105" s="3">
        <v>12703</v>
      </c>
      <c r="G105" s="16">
        <v>221</v>
      </c>
      <c r="I105" s="6">
        <v>55339007</v>
      </c>
      <c r="J105" s="7"/>
      <c r="K105" s="7">
        <f t="shared" si="1"/>
        <v>12.702999999999999</v>
      </c>
      <c r="L105" s="6">
        <f t="shared" si="2"/>
        <v>12.229920547000001</v>
      </c>
      <c r="M105" s="23"/>
      <c r="N105" s="24"/>
    </row>
    <row r="106" spans="1:14" ht="14" x14ac:dyDescent="0.15">
      <c r="A106" s="26" t="s">
        <v>108</v>
      </c>
      <c r="B106" s="2">
        <f t="shared" si="0"/>
        <v>3.0351431000000002E-2</v>
      </c>
      <c r="C106" s="2" t="str">
        <f ca="1">IFERROR(__xludf.DUMMYFUNCTION("IFERROR(STDEV.S(FILTER(J117:M117, J117:M117&lt;&gt;"""")))"),"")</f>
        <v/>
      </c>
      <c r="D106" s="47">
        <v>0</v>
      </c>
      <c r="E106" s="3"/>
      <c r="F106" s="3"/>
      <c r="G106" s="16">
        <v>229</v>
      </c>
      <c r="I106" s="6">
        <v>132539</v>
      </c>
      <c r="J106" s="7"/>
      <c r="K106" s="7" t="str">
        <f t="shared" si="1"/>
        <v/>
      </c>
      <c r="L106" s="6">
        <f t="shared" si="2"/>
        <v>3.0351431000000002E-2</v>
      </c>
      <c r="M106" s="23"/>
      <c r="N106" s="24"/>
    </row>
    <row r="107" spans="1:14" ht="14" x14ac:dyDescent="0.15">
      <c r="A107" s="26" t="s">
        <v>109</v>
      </c>
      <c r="B107" s="2">
        <f t="shared" si="0"/>
        <v>6.7481245484999999</v>
      </c>
      <c r="C107" s="2">
        <f ca="1">IFERROR(__xludf.DUMMYFUNCTION("IFERROR(STDEV.S(FILTER(J118:M118, J118:M118&lt;&gt;"""")))"),0.351963038853026)</f>
        <v>0.35196303885302599</v>
      </c>
      <c r="D107" s="47">
        <v>5.215716401E-2</v>
      </c>
      <c r="E107" s="3"/>
      <c r="F107" s="3">
        <v>6997</v>
      </c>
      <c r="G107" s="16">
        <v>3823</v>
      </c>
      <c r="I107" s="6">
        <v>1700039</v>
      </c>
      <c r="J107" s="7"/>
      <c r="K107" s="7">
        <f t="shared" si="1"/>
        <v>6.9969999999999999</v>
      </c>
      <c r="L107" s="6">
        <f t="shared" si="2"/>
        <v>6.4992490970000008</v>
      </c>
      <c r="M107" s="23"/>
      <c r="N107" s="24"/>
    </row>
    <row r="108" spans="1:14" ht="14" x14ac:dyDescent="0.15">
      <c r="A108" s="26" t="s">
        <v>110</v>
      </c>
      <c r="B108" s="2">
        <f t="shared" si="0"/>
        <v>88.631531819999992</v>
      </c>
      <c r="C108" s="2">
        <f ca="1">IFERROR(__xludf.DUMMYFUNCTION("IFERROR(STDEV.S(FILTER(J119:M119, J119:M119&lt;&gt;"""")))"),8.99556352719551)</f>
        <v>8.9955635271955092</v>
      </c>
      <c r="D108" s="47">
        <v>0.10149394170000001</v>
      </c>
      <c r="E108" s="3"/>
      <c r="F108" s="3">
        <v>83544</v>
      </c>
      <c r="G108" s="16">
        <v>21076</v>
      </c>
      <c r="I108" s="6">
        <v>4838780</v>
      </c>
      <c r="J108" s="7"/>
      <c r="K108" s="7">
        <f t="shared" si="1"/>
        <v>83.543999999999997</v>
      </c>
      <c r="L108" s="6">
        <f t="shared" si="2"/>
        <v>101.98212728</v>
      </c>
      <c r="M108" s="23">
        <v>86</v>
      </c>
      <c r="N108" s="24">
        <v>83</v>
      </c>
    </row>
    <row r="109" spans="1:14" ht="14" x14ac:dyDescent="0.15">
      <c r="A109" s="26" t="s">
        <v>111</v>
      </c>
      <c r="B109" s="2">
        <f t="shared" si="0"/>
        <v>14.329294773499999</v>
      </c>
      <c r="C109" s="2">
        <f ca="1">IFERROR(__xludf.DUMMYFUNCTION("IFERROR(STDEV.S(FILTER(J120:M120, J120:M120&lt;&gt;"""")))"),0.632570335062302)</f>
        <v>0.63257033506230198</v>
      </c>
      <c r="D109" s="47">
        <v>4.4145252439999998E-2</v>
      </c>
      <c r="E109" s="17"/>
      <c r="F109" s="17">
        <v>13882</v>
      </c>
      <c r="G109" s="7">
        <v>2089</v>
      </c>
      <c r="I109" s="6">
        <v>7073523</v>
      </c>
      <c r="J109" s="7"/>
      <c r="K109" s="7">
        <f t="shared" si="1"/>
        <v>13.882</v>
      </c>
      <c r="L109" s="6">
        <f t="shared" si="2"/>
        <v>14.776589547</v>
      </c>
      <c r="M109" s="21"/>
      <c r="N109" s="22"/>
    </row>
    <row r="110" spans="1:14" ht="14" x14ac:dyDescent="0.15">
      <c r="A110" s="26" t="s">
        <v>112</v>
      </c>
      <c r="B110" s="2">
        <f t="shared" si="0"/>
        <v>46.779507206000005</v>
      </c>
      <c r="C110" s="2" t="str">
        <f ca="1">IFERROR(__xludf.DUMMYFUNCTION("IFERROR(STDEV.S(FILTER(J121:M121, J121:M121&lt;&gt;"""")))"),"")</f>
        <v/>
      </c>
      <c r="D110" s="47">
        <v>0</v>
      </c>
      <c r="E110" s="17"/>
      <c r="F110" s="17"/>
      <c r="G110" s="7">
        <v>6103</v>
      </c>
      <c r="I110" s="6">
        <v>7665002</v>
      </c>
      <c r="J110" s="7"/>
      <c r="K110" s="7" t="str">
        <f t="shared" si="1"/>
        <v/>
      </c>
      <c r="L110" s="6">
        <f t="shared" si="2"/>
        <v>46.779507206000005</v>
      </c>
      <c r="M110" s="21"/>
      <c r="N110" s="22"/>
    </row>
    <row r="111" spans="1:14" ht="14" x14ac:dyDescent="0.15">
      <c r="A111" s="26" t="s">
        <v>113</v>
      </c>
      <c r="B111" s="2">
        <f t="shared" si="0"/>
        <v>6.4076979999999999</v>
      </c>
      <c r="C111" s="2">
        <f ca="1">IFERROR(__xludf.DUMMYFUNCTION("IFERROR(STDEV.S(FILTER(J124:M124, J124:M124&lt;&gt;"""")))"),0.0292713923139984)</f>
        <v>2.92713923139984E-2</v>
      </c>
      <c r="D111" s="47">
        <v>4.5681604089999996E-3</v>
      </c>
      <c r="E111" s="3"/>
      <c r="F111" s="3">
        <v>6387</v>
      </c>
      <c r="G111" s="16">
        <v>3415</v>
      </c>
      <c r="I111" s="6">
        <v>1882400</v>
      </c>
      <c r="J111" s="7"/>
      <c r="K111" s="7">
        <f t="shared" si="1"/>
        <v>6.3870000000000005</v>
      </c>
      <c r="L111" s="6">
        <f t="shared" si="2"/>
        <v>6.4283960000000002</v>
      </c>
      <c r="M111" s="23"/>
      <c r="N111" s="24"/>
    </row>
    <row r="112" spans="1:14" ht="14" x14ac:dyDescent="0.15">
      <c r="A112" s="26" t="s">
        <v>114</v>
      </c>
      <c r="B112" s="2">
        <f t="shared" si="0"/>
        <v>7.4521319260000007</v>
      </c>
      <c r="C112" s="2">
        <f ca="1">IFERROR(__xludf.DUMMYFUNCTION("IFERROR(STDEV.S(FILTER(J125:M125, J125:M125&lt;&gt;"""")))"),4.41111867258011)</f>
        <v>4.4111186725801099</v>
      </c>
      <c r="D112" s="47">
        <v>0.59192707759999996</v>
      </c>
      <c r="E112" s="3"/>
      <c r="F112" s="3">
        <v>4333</v>
      </c>
      <c r="G112" s="16">
        <v>1831</v>
      </c>
      <c r="I112" s="6">
        <v>5773492</v>
      </c>
      <c r="J112" s="7"/>
      <c r="K112" s="7">
        <f t="shared" si="1"/>
        <v>4.3330000000000002</v>
      </c>
      <c r="L112" s="6">
        <f t="shared" si="2"/>
        <v>10.571263852000001</v>
      </c>
      <c r="M112" s="23"/>
      <c r="N112" s="24"/>
    </row>
    <row r="113" spans="1:14" ht="14" x14ac:dyDescent="0.15">
      <c r="A113" s="26" t="s">
        <v>115</v>
      </c>
      <c r="B113" s="2">
        <f t="shared" si="0"/>
        <v>0.50159029200000005</v>
      </c>
      <c r="C113" s="2" t="str">
        <f ca="1">IFERROR(__xludf.DUMMYFUNCTION("IFERROR(STDEV.S(FILTER(J126:M126, J126:M126&lt;&gt;"""")))"),"")</f>
        <v/>
      </c>
      <c r="D113" s="47">
        <v>0</v>
      </c>
      <c r="E113" s="3"/>
      <c r="F113" s="3"/>
      <c r="G113" s="16">
        <v>217</v>
      </c>
      <c r="I113" s="6">
        <v>2311476</v>
      </c>
      <c r="J113" s="7"/>
      <c r="K113" s="7" t="str">
        <f t="shared" si="1"/>
        <v/>
      </c>
      <c r="L113" s="6">
        <f t="shared" si="2"/>
        <v>0.50159029200000005</v>
      </c>
      <c r="M113" s="23"/>
      <c r="N113" s="24"/>
    </row>
    <row r="114" spans="1:14" ht="14" x14ac:dyDescent="0.15">
      <c r="A114" s="26" t="s">
        <v>116</v>
      </c>
      <c r="B114" s="2">
        <f t="shared" si="0"/>
        <v>0.81846206600000004</v>
      </c>
      <c r="C114" s="2" t="str">
        <f ca="1">IFERROR(__xludf.DUMMYFUNCTION("IFERROR(STDEV.S(FILTER(J127:M127, J127:M127&lt;&gt;"""")))"),"")</f>
        <v/>
      </c>
      <c r="D114" s="47">
        <v>0</v>
      </c>
      <c r="E114" s="3"/>
      <c r="F114" s="3"/>
      <c r="G114" s="16">
        <v>149</v>
      </c>
      <c r="I114" s="6">
        <v>5493034</v>
      </c>
      <c r="J114" s="7"/>
      <c r="K114" s="7" t="str">
        <f t="shared" si="1"/>
        <v/>
      </c>
      <c r="L114" s="6">
        <f t="shared" si="2"/>
        <v>0.81846206600000004</v>
      </c>
      <c r="M114" s="23"/>
      <c r="N114" s="24"/>
    </row>
    <row r="115" spans="1:14" ht="14" x14ac:dyDescent="0.15">
      <c r="A115" s="26" t="s">
        <v>117</v>
      </c>
      <c r="B115" s="2">
        <f t="shared" si="0"/>
        <v>33.789829350000005</v>
      </c>
      <c r="C115" s="2">
        <f ca="1">IFERROR(__xludf.DUMMYFUNCTION("IFERROR(STDEV.S(FILTER(J128:M128, J128:M128&lt;&gt;"""")))"),1.86134638362741)</f>
        <v>1.86134638362741</v>
      </c>
      <c r="D115" s="47">
        <v>5.5085995380000002E-2</v>
      </c>
      <c r="E115" s="3"/>
      <c r="F115" s="3">
        <v>35106</v>
      </c>
      <c r="G115" s="16">
        <v>4445</v>
      </c>
      <c r="I115" s="6">
        <v>7305660</v>
      </c>
      <c r="J115" s="7"/>
      <c r="K115" s="7">
        <f t="shared" si="1"/>
        <v>35.106000000000002</v>
      </c>
      <c r="L115" s="6">
        <f t="shared" si="2"/>
        <v>32.473658700000001</v>
      </c>
      <c r="M115" s="23"/>
      <c r="N115" s="24"/>
    </row>
    <row r="116" spans="1:14" ht="14" x14ac:dyDescent="0.15">
      <c r="A116" s="26" t="s">
        <v>118</v>
      </c>
      <c r="B116" s="2">
        <f t="shared" si="0"/>
        <v>5.9073223625000004</v>
      </c>
      <c r="C116" s="2">
        <f ca="1">IFERROR(__xludf.DUMMYFUNCTION("IFERROR(STDEV.S(FILTER(J129:M129, J129:M129&lt;&gt;"""")))"),0.0999532735089892)</f>
        <v>9.9953273508989193E-2</v>
      </c>
      <c r="D116" s="47">
        <v>1.692023346E-2</v>
      </c>
      <c r="E116" s="3"/>
      <c r="F116" s="3">
        <v>5978</v>
      </c>
      <c r="G116" s="16">
        <v>2045</v>
      </c>
      <c r="I116" s="27">
        <v>2854105</v>
      </c>
      <c r="J116" s="7"/>
      <c r="K116" s="7">
        <f t="shared" si="1"/>
        <v>5.9779999999999998</v>
      </c>
      <c r="L116" s="6">
        <f t="shared" si="2"/>
        <v>5.8366447250000002</v>
      </c>
      <c r="M116" s="23"/>
      <c r="N116" s="24"/>
    </row>
    <row r="117" spans="1:14" ht="14" x14ac:dyDescent="0.15">
      <c r="A117" s="26" t="s">
        <v>119</v>
      </c>
      <c r="B117" s="2">
        <f t="shared" si="0"/>
        <v>1.7739704205</v>
      </c>
      <c r="C117" s="2">
        <f ca="1">IFERROR(__xludf.DUMMYFUNCTION("IFERROR(STDEV.S(FILTER(J130:M130, J130:M130&lt;&gt;"""")))"),0.871197386151894)</f>
        <v>0.87119738615189402</v>
      </c>
      <c r="D117" s="47">
        <v>0.49110028900000002</v>
      </c>
      <c r="E117" s="3"/>
      <c r="F117" s="3">
        <v>2390</v>
      </c>
      <c r="G117" s="16">
        <v>1741</v>
      </c>
      <c r="I117" s="6">
        <v>665101</v>
      </c>
      <c r="J117" s="7"/>
      <c r="K117" s="7">
        <f t="shared" si="1"/>
        <v>2.39</v>
      </c>
      <c r="L117" s="6">
        <f t="shared" si="2"/>
        <v>1.1579408410000001</v>
      </c>
      <c r="M117" s="23"/>
      <c r="N117" s="24"/>
    </row>
    <row r="118" spans="1:14" ht="14" x14ac:dyDescent="0.15">
      <c r="A118" s="26" t="s">
        <v>120</v>
      </c>
      <c r="B118" s="2">
        <f t="shared" si="0"/>
        <v>0.50331078000000007</v>
      </c>
      <c r="C118" s="2" t="str">
        <f ca="1">IFERROR(__xludf.DUMMYFUNCTION("IFERROR(STDEV.S(FILTER(J131:M131, J131:M131&lt;&gt;"""")))"),"")</f>
        <v/>
      </c>
      <c r="D118" s="47">
        <v>0</v>
      </c>
      <c r="E118" s="3"/>
      <c r="F118" s="3"/>
      <c r="G118" s="16">
        <v>705</v>
      </c>
      <c r="I118" s="6">
        <v>713916</v>
      </c>
      <c r="J118" s="7"/>
      <c r="K118" s="7" t="str">
        <f t="shared" si="1"/>
        <v/>
      </c>
      <c r="L118" s="6">
        <f t="shared" si="2"/>
        <v>0.50331078000000007</v>
      </c>
      <c r="M118" s="23"/>
      <c r="N118" s="24"/>
    </row>
    <row r="119" spans="1:14" ht="14" x14ac:dyDescent="0.15">
      <c r="A119" s="26" t="s">
        <v>121</v>
      </c>
      <c r="B119" s="2">
        <f t="shared" si="0"/>
        <v>2.5543374400000003</v>
      </c>
      <c r="C119" s="2">
        <f ca="1">IFERROR(__xludf.DUMMYFUNCTION("IFERROR(STDEV.S(FILTER(J132:M132, J132:M132&lt;&gt;"""")))"),0.0829613879555254)</f>
        <v>8.2961387955525406E-2</v>
      </c>
      <c r="D119" s="47">
        <v>3.2478632879999997E-2</v>
      </c>
      <c r="E119" s="3"/>
      <c r="F119" s="3">
        <v>2613</v>
      </c>
      <c r="G119" s="16">
        <v>80</v>
      </c>
      <c r="I119" s="6">
        <v>31195936</v>
      </c>
      <c r="J119" s="7"/>
      <c r="K119" s="7">
        <f t="shared" si="1"/>
        <v>2.613</v>
      </c>
      <c r="L119" s="6">
        <f t="shared" si="2"/>
        <v>2.4956748800000002</v>
      </c>
      <c r="M119" s="23"/>
      <c r="N119" s="24"/>
    </row>
    <row r="120" spans="1:14" ht="14" x14ac:dyDescent="0.15">
      <c r="A120" s="26" t="s">
        <v>122</v>
      </c>
      <c r="B120" s="2">
        <f t="shared" si="0"/>
        <v>1.3928956800000001</v>
      </c>
      <c r="C120" s="2" t="str">
        <f ca="1">IFERROR(__xludf.DUMMYFUNCTION("IFERROR(STDEV.S(FILTER(J133:M133, J133:M133&lt;&gt;"""")))"),"")</f>
        <v/>
      </c>
      <c r="D120" s="47">
        <v>0</v>
      </c>
      <c r="E120" s="3"/>
      <c r="F120" s="3"/>
      <c r="G120" s="16">
        <v>66</v>
      </c>
      <c r="I120" s="6">
        <v>21104480</v>
      </c>
      <c r="J120" s="7"/>
      <c r="K120" s="7" t="str">
        <f t="shared" si="1"/>
        <v/>
      </c>
      <c r="L120" s="6">
        <f t="shared" si="2"/>
        <v>1.3928956800000001</v>
      </c>
      <c r="M120" s="23"/>
      <c r="N120" s="24"/>
    </row>
    <row r="121" spans="1:14" ht="14" x14ac:dyDescent="0.15">
      <c r="A121" s="26" t="s">
        <v>123</v>
      </c>
      <c r="B121" s="2">
        <f t="shared" si="0"/>
        <v>189.32869805249999</v>
      </c>
      <c r="C121" s="2">
        <f ca="1">IFERROR(__xludf.DUMMYFUNCTION("IFERROR(STDEV.S(FILTER(J134:M134, J134:M134&lt;&gt;"""")))"),2.55160636850902)</f>
        <v>2.5516063685090198</v>
      </c>
      <c r="D121" s="47">
        <v>1.347712415E-2</v>
      </c>
      <c r="E121" s="3"/>
      <c r="F121" s="3">
        <v>187298</v>
      </c>
      <c r="G121" s="16">
        <v>5438</v>
      </c>
      <c r="I121" s="6">
        <v>35126295</v>
      </c>
      <c r="J121" s="7"/>
      <c r="K121" s="7">
        <f t="shared" si="1"/>
        <v>187.298</v>
      </c>
      <c r="L121" s="6">
        <f t="shared" si="2"/>
        <v>191.01679221000001</v>
      </c>
      <c r="M121" s="23">
        <v>192</v>
      </c>
      <c r="N121" s="24">
        <v>187</v>
      </c>
    </row>
    <row r="122" spans="1:14" ht="14" x14ac:dyDescent="0.15">
      <c r="A122" s="26" t="s">
        <v>124</v>
      </c>
      <c r="B122" s="2">
        <f t="shared" si="0"/>
        <v>0.85371260700000007</v>
      </c>
      <c r="C122" s="2" t="str">
        <f ca="1">IFERROR(__xludf.DUMMYFUNCTION("IFERROR(STDEV.S(FILTER(J135:M135, J135:M135&lt;&gt;"""")))"),"")</f>
        <v/>
      </c>
      <c r="D122" s="47">
        <v>0</v>
      </c>
      <c r="E122" s="3"/>
      <c r="F122" s="3"/>
      <c r="G122" s="16">
        <v>1623</v>
      </c>
      <c r="I122" s="6">
        <v>526009</v>
      </c>
      <c r="J122" s="7"/>
      <c r="K122" s="7" t="str">
        <f t="shared" si="1"/>
        <v/>
      </c>
      <c r="L122" s="6">
        <f t="shared" si="2"/>
        <v>0.85371260700000007</v>
      </c>
      <c r="M122" s="23"/>
      <c r="N122" s="24"/>
    </row>
    <row r="123" spans="1:14" ht="14" x14ac:dyDescent="0.15">
      <c r="A123" s="26" t="s">
        <v>125</v>
      </c>
      <c r="B123" s="2">
        <f t="shared" si="0"/>
        <v>3.9456754140000001</v>
      </c>
      <c r="C123" s="2" t="str">
        <f ca="1">IFERROR(__xludf.DUMMYFUNCTION("IFERROR(STDEV.S(FILTER(J136:M136, J136:M136&lt;&gt;"""")))"),"")</f>
        <v/>
      </c>
      <c r="D123" s="47">
        <v>0</v>
      </c>
      <c r="E123" s="3"/>
      <c r="F123" s="3"/>
      <c r="G123" s="16">
        <v>166</v>
      </c>
      <c r="I123" s="6">
        <v>23769129</v>
      </c>
      <c r="J123" s="7"/>
      <c r="K123" s="7" t="str">
        <f t="shared" si="1"/>
        <v/>
      </c>
      <c r="L123" s="6">
        <f t="shared" si="2"/>
        <v>3.9456754140000001</v>
      </c>
      <c r="M123" s="23"/>
      <c r="N123" s="24"/>
    </row>
    <row r="124" spans="1:14" ht="14" x14ac:dyDescent="0.15">
      <c r="A124" s="26" t="s">
        <v>126</v>
      </c>
      <c r="B124" s="2">
        <f t="shared" si="0"/>
        <v>2.4264130460000004</v>
      </c>
      <c r="C124" s="2">
        <f ca="1">IFERROR(__xludf.DUMMYFUNCTION("IFERROR(STDEV.S(FILTER(J137:M137, J137:M137&lt;&gt;"""")))"),0.188674539050705)</f>
        <v>0.188674539050705</v>
      </c>
      <c r="D124" s="47">
        <v>7.7758623730000004E-2</v>
      </c>
      <c r="E124" s="3"/>
      <c r="F124" s="3">
        <v>2293</v>
      </c>
      <c r="G124" s="16">
        <v>4803</v>
      </c>
      <c r="I124" s="6">
        <v>532964</v>
      </c>
      <c r="J124" s="7"/>
      <c r="K124" s="7">
        <f t="shared" si="1"/>
        <v>2.2930000000000001</v>
      </c>
      <c r="L124" s="6">
        <f t="shared" si="2"/>
        <v>2.5598260920000002</v>
      </c>
      <c r="M124" s="23"/>
      <c r="N124" s="24"/>
    </row>
    <row r="125" spans="1:14" ht="14" x14ac:dyDescent="0.15">
      <c r="A125" s="6" t="s">
        <v>127</v>
      </c>
      <c r="B125" s="2">
        <f t="shared" si="0"/>
        <v>1.80305596</v>
      </c>
      <c r="C125" s="2" t="str">
        <f ca="1">IFERROR(__xludf.DUMMYFUNCTION("IFERROR(STDEV.S(FILTER(J138:M138, J138:M138&lt;&gt;"""")))"),"")</f>
        <v/>
      </c>
      <c r="D125" s="47">
        <v>0</v>
      </c>
      <c r="E125" s="3"/>
      <c r="F125" s="3"/>
      <c r="G125" s="16">
        <v>359</v>
      </c>
      <c r="I125" s="6">
        <v>5022440</v>
      </c>
      <c r="J125" s="7"/>
      <c r="K125" s="7" t="str">
        <f t="shared" si="1"/>
        <v/>
      </c>
      <c r="L125" s="6">
        <f t="shared" si="2"/>
        <v>1.80305596</v>
      </c>
      <c r="M125" s="23"/>
      <c r="N125" s="24"/>
    </row>
    <row r="126" spans="1:14" ht="14" x14ac:dyDescent="0.15">
      <c r="A126" s="26" t="s">
        <v>128</v>
      </c>
      <c r="B126" s="2">
        <f t="shared" si="0"/>
        <v>3.2794832950000004</v>
      </c>
      <c r="C126" s="2">
        <f ca="1">IFERROR(__xludf.DUMMYFUNCTION("IFERROR(STDEV.S(FILTER(J139:M139, J139:M139&lt;&gt;"""")))"),0.226957652323322)</f>
        <v>0.22695765232332199</v>
      </c>
      <c r="D126" s="47">
        <v>6.920530825E-2</v>
      </c>
      <c r="E126" s="3"/>
      <c r="F126" s="3">
        <v>3119</v>
      </c>
      <c r="G126" s="16">
        <v>2701</v>
      </c>
      <c r="I126" s="6">
        <v>1273590</v>
      </c>
      <c r="J126" s="7"/>
      <c r="K126" s="7">
        <f t="shared" si="1"/>
        <v>3.1190000000000002</v>
      </c>
      <c r="L126" s="6">
        <f t="shared" si="2"/>
        <v>3.43996659</v>
      </c>
      <c r="M126" s="23"/>
      <c r="N126" s="24"/>
    </row>
    <row r="127" spans="1:14" ht="14" x14ac:dyDescent="0.15">
      <c r="A127" s="26" t="s">
        <v>129</v>
      </c>
      <c r="B127" s="2">
        <f t="shared" si="0"/>
        <v>379.08252269100001</v>
      </c>
      <c r="C127" s="2">
        <f ca="1">IFERROR(__xludf.DUMMYFUNCTION("IFERROR(STDEV.S(FILTER(J140:M140, J140:M140&lt;&gt;"""")))"),26.8004801126317)</f>
        <v>26.8004801126317</v>
      </c>
      <c r="D127" s="47">
        <v>7.0698274140000003E-2</v>
      </c>
      <c r="E127" s="3"/>
      <c r="F127" s="3">
        <v>356416</v>
      </c>
      <c r="G127" s="16">
        <v>2751</v>
      </c>
      <c r="I127" s="6">
        <v>129739764</v>
      </c>
      <c r="J127" s="7"/>
      <c r="K127" s="7">
        <f t="shared" si="1"/>
        <v>356.416</v>
      </c>
      <c r="L127" s="6">
        <f t="shared" si="2"/>
        <v>356.91409076400004</v>
      </c>
      <c r="M127" s="23">
        <v>410</v>
      </c>
      <c r="N127" s="24">
        <v>393</v>
      </c>
    </row>
    <row r="128" spans="1:14" ht="14" x14ac:dyDescent="0.15">
      <c r="A128" s="26" t="s">
        <v>130</v>
      </c>
      <c r="B128" s="2">
        <f t="shared" si="0"/>
        <v>5.2934798470000004</v>
      </c>
      <c r="C128" s="2">
        <f ca="1">IFERROR(__xludf.DUMMYFUNCTION("IFERROR(STDEV.S(FILTER(J142:M142, J142:M142&lt;&gt;"""")))"),0.05164729567254)</f>
        <v>5.1647295672539999E-2</v>
      </c>
      <c r="D128" s="47">
        <v>9.7567757249999998E-3</v>
      </c>
      <c r="E128" s="3"/>
      <c r="F128" s="3">
        <v>5330</v>
      </c>
      <c r="G128" s="16">
        <v>1714</v>
      </c>
      <c r="I128" s="6">
        <v>3067071</v>
      </c>
      <c r="J128" s="7"/>
      <c r="K128" s="7">
        <f t="shared" si="1"/>
        <v>5.33</v>
      </c>
      <c r="L128" s="6">
        <f t="shared" si="2"/>
        <v>5.2569596940000007</v>
      </c>
      <c r="M128" s="23"/>
      <c r="N128" s="24"/>
    </row>
    <row r="129" spans="1:14" ht="14" x14ac:dyDescent="0.15">
      <c r="A129" s="26" t="s">
        <v>131</v>
      </c>
      <c r="B129" s="2">
        <f t="shared" si="0"/>
        <v>7.9087033250000003</v>
      </c>
      <c r="C129" s="2">
        <f ca="1">IFERROR(__xludf.DUMMYFUNCTION("IFERROR(STDEV.S(FILTER(J143:M143, J143:M143&lt;&gt;"""")))"),0.224440394608705)</f>
        <v>0.22444039460870499</v>
      </c>
      <c r="D129" s="47">
        <v>2.8378911860000001E-2</v>
      </c>
      <c r="E129" s="3"/>
      <c r="F129" s="3">
        <v>7750</v>
      </c>
      <c r="G129" s="16">
        <v>2350</v>
      </c>
      <c r="I129" s="6">
        <v>3432939</v>
      </c>
      <c r="J129" s="7"/>
      <c r="K129" s="7">
        <f t="shared" si="1"/>
        <v>7.75</v>
      </c>
      <c r="L129" s="6">
        <f t="shared" si="2"/>
        <v>8.0674066500000006</v>
      </c>
      <c r="M129" s="23"/>
      <c r="N129" s="24"/>
    </row>
    <row r="130" spans="1:14" ht="14" x14ac:dyDescent="0.15">
      <c r="A130" s="26" t="s">
        <v>132</v>
      </c>
      <c r="B130" s="2">
        <f t="shared" si="0"/>
        <v>3.7339985040000001</v>
      </c>
      <c r="C130" s="2">
        <f ca="1">IFERROR(__xludf.DUMMYFUNCTION("IFERROR(STDEV.S(FILTER(J144:M144, J144:M144&lt;&gt;"""")))"),0.582653872034225)</f>
        <v>0.58265387203422503</v>
      </c>
      <c r="D130" s="47">
        <v>0.15604019960000001</v>
      </c>
      <c r="E130" s="3"/>
      <c r="F130" s="3">
        <v>3322</v>
      </c>
      <c r="G130" s="16">
        <v>6544</v>
      </c>
      <c r="I130" s="6">
        <v>633557</v>
      </c>
      <c r="J130" s="7"/>
      <c r="K130" s="7">
        <f t="shared" si="1"/>
        <v>3.3220000000000001</v>
      </c>
      <c r="L130" s="6">
        <f t="shared" si="2"/>
        <v>4.1459970080000002</v>
      </c>
      <c r="M130" s="23"/>
      <c r="N130" s="24"/>
    </row>
    <row r="131" spans="1:14" ht="14" x14ac:dyDescent="0.15">
      <c r="A131" s="26" t="s">
        <v>133</v>
      </c>
      <c r="B131" s="2">
        <f t="shared" si="0"/>
        <v>1.006104E-2</v>
      </c>
      <c r="C131" s="2" t="str">
        <f ca="1">IFERROR(__xludf.DUMMYFUNCTION("IFERROR(STDEV.S(FILTER(J145:M145, J145:M145&lt;&gt;"""")))"),"")</f>
        <v/>
      </c>
      <c r="D131" s="47">
        <v>0</v>
      </c>
      <c r="E131" s="3"/>
      <c r="F131" s="3"/>
      <c r="G131" s="16">
        <v>2266</v>
      </c>
      <c r="I131" s="6">
        <v>4440</v>
      </c>
      <c r="J131" s="7"/>
      <c r="K131" s="7" t="str">
        <f t="shared" si="1"/>
        <v/>
      </c>
      <c r="L131" s="6">
        <f t="shared" si="2"/>
        <v>1.006104E-2</v>
      </c>
      <c r="M131" s="23"/>
      <c r="N131" s="24"/>
    </row>
    <row r="132" spans="1:14" ht="14" x14ac:dyDescent="0.15">
      <c r="A132" s="26" t="s">
        <v>134</v>
      </c>
      <c r="B132" s="2">
        <f t="shared" si="0"/>
        <v>42.480009520000003</v>
      </c>
      <c r="C132" s="2">
        <f ca="1">IFERROR(__xludf.DUMMYFUNCTION("IFERROR(STDEV.S(FILTER(J146:M146, J146:M146&lt;&gt;"""")))"),0.342226218781172)</f>
        <v>0.34222621878117199</v>
      </c>
      <c r="D132" s="47">
        <v>8.0561709529999997E-3</v>
      </c>
      <c r="E132" s="3"/>
      <c r="F132" s="3">
        <v>42722</v>
      </c>
      <c r="G132" s="16">
        <v>1120</v>
      </c>
      <c r="I132" s="6">
        <v>37712517</v>
      </c>
      <c r="J132" s="7"/>
      <c r="K132" s="7">
        <f t="shared" si="1"/>
        <v>42.722000000000001</v>
      </c>
      <c r="L132" s="6">
        <f t="shared" si="2"/>
        <v>42.238019040000005</v>
      </c>
      <c r="M132" s="23"/>
      <c r="N132" s="24"/>
    </row>
    <row r="133" spans="1:14" ht="14" x14ac:dyDescent="0.15">
      <c r="A133" s="26" t="s">
        <v>135</v>
      </c>
      <c r="B133" s="2">
        <f t="shared" si="0"/>
        <v>19.482745102500001</v>
      </c>
      <c r="C133" s="2">
        <f ca="1">IFERROR(__xludf.DUMMYFUNCTION("IFERROR(STDEV.S(FILTER(J147:M147, J147:M147&lt;&gt;"""")))"),0.106426496679495)</f>
        <v>0.106426496679495</v>
      </c>
      <c r="D133" s="47">
        <v>5.4626027349999997E-3</v>
      </c>
      <c r="E133" s="3"/>
      <c r="F133" s="3">
        <v>19558</v>
      </c>
      <c r="G133" s="16">
        <v>577</v>
      </c>
      <c r="I133" s="6">
        <v>33635165</v>
      </c>
      <c r="J133" s="7"/>
      <c r="K133" s="7">
        <f t="shared" si="1"/>
        <v>19.558</v>
      </c>
      <c r="L133" s="6">
        <f t="shared" si="2"/>
        <v>19.407490205000002</v>
      </c>
      <c r="M133" s="23"/>
      <c r="N133" s="24"/>
    </row>
    <row r="134" spans="1:14" ht="14" x14ac:dyDescent="0.15">
      <c r="A134" s="26" t="s">
        <v>136</v>
      </c>
      <c r="B134" s="2">
        <f t="shared" si="0"/>
        <v>19.472277866500001</v>
      </c>
      <c r="C134" s="2">
        <f ca="1">IFERROR(__xludf.DUMMYFUNCTION("IFERROR(STDEV.S(FILTER(J148:M148, J148:M148&lt;&gt;"""")))"),2.04455984861866)</f>
        <v>2.0445598486186598</v>
      </c>
      <c r="D134" s="47">
        <v>0.1049984939</v>
      </c>
      <c r="E134" s="3"/>
      <c r="F134" s="3">
        <v>20918</v>
      </c>
      <c r="G134" s="16">
        <v>333</v>
      </c>
      <c r="I134" s="6">
        <v>54133801</v>
      </c>
      <c r="J134" s="7"/>
      <c r="K134" s="7">
        <f t="shared" si="1"/>
        <v>20.917999999999999</v>
      </c>
      <c r="L134" s="6">
        <f t="shared" si="2"/>
        <v>18.026555733000002</v>
      </c>
      <c r="M134" s="23"/>
      <c r="N134" s="24"/>
    </row>
    <row r="135" spans="1:14" ht="14" x14ac:dyDescent="0.15">
      <c r="A135" s="26" t="s">
        <v>137</v>
      </c>
      <c r="B135" s="2">
        <f t="shared" si="0"/>
        <v>1.444795563</v>
      </c>
      <c r="C135" s="2">
        <f ca="1">IFERROR(__xludf.DUMMYFUNCTION("IFERROR(STDEV.S(FILTER(J149:M149, J149:M149&lt;&gt;"""")))"),0.160931228532482)</f>
        <v>0.16093122853248201</v>
      </c>
      <c r="D135" s="47">
        <v>0.11138685130000001</v>
      </c>
      <c r="E135" s="3"/>
      <c r="F135" s="3">
        <v>1331</v>
      </c>
      <c r="G135" s="16">
        <v>526</v>
      </c>
      <c r="I135" s="6">
        <v>2963101</v>
      </c>
      <c r="J135" s="7"/>
      <c r="K135" s="7">
        <f t="shared" si="1"/>
        <v>1.331</v>
      </c>
      <c r="L135" s="6">
        <f t="shared" si="2"/>
        <v>1.558591126</v>
      </c>
      <c r="M135" s="23"/>
      <c r="N135" s="24"/>
    </row>
    <row r="136" spans="1:14" ht="14" x14ac:dyDescent="0.15">
      <c r="A136" s="26" t="s">
        <v>138</v>
      </c>
      <c r="B136" s="2">
        <f t="shared" si="0"/>
        <v>3.7508800000000002E-2</v>
      </c>
      <c r="C136" s="2" t="str">
        <f ca="1">IFERROR(__xludf.DUMMYFUNCTION("IFERROR(STDEV.S(FILTER(J150:M150, J150:M150&lt;&gt;"""")))"),"")</f>
        <v/>
      </c>
      <c r="D136" s="47">
        <v>0</v>
      </c>
      <c r="E136" s="3"/>
      <c r="F136" s="3"/>
      <c r="G136" s="16">
        <v>3152</v>
      </c>
      <c r="I136" s="6">
        <v>11900</v>
      </c>
      <c r="J136" s="7"/>
      <c r="K136" s="7" t="str">
        <f t="shared" si="1"/>
        <v/>
      </c>
      <c r="L136" s="6">
        <f t="shared" si="2"/>
        <v>3.7508800000000002E-2</v>
      </c>
      <c r="M136" s="23"/>
      <c r="N136" s="24"/>
    </row>
    <row r="137" spans="1:14" ht="14" x14ac:dyDescent="0.15">
      <c r="A137" s="26" t="s">
        <v>139</v>
      </c>
      <c r="B137" s="2">
        <f t="shared" si="0"/>
        <v>10.111485547000001</v>
      </c>
      <c r="C137" s="2">
        <f ca="1">IFERROR(__xludf.DUMMYFUNCTION("IFERROR(STDEV.S(FILTER(J151:M151, J151:M151&lt;&gt;"""")))"),0.819557199023825)</f>
        <v>0.81955719902382496</v>
      </c>
      <c r="D137" s="47">
        <v>8.1052106060000004E-2</v>
      </c>
      <c r="E137" s="3"/>
      <c r="F137" s="3">
        <v>10691</v>
      </c>
      <c r="G137" s="16">
        <v>321</v>
      </c>
      <c r="I137" s="6">
        <v>29694614</v>
      </c>
      <c r="J137" s="7"/>
      <c r="K137" s="7">
        <f t="shared" si="1"/>
        <v>10.691000000000001</v>
      </c>
      <c r="L137" s="6">
        <f t="shared" si="2"/>
        <v>9.5319710940000011</v>
      </c>
      <c r="M137" s="23"/>
      <c r="N137" s="24"/>
    </row>
    <row r="138" spans="1:14" ht="14" x14ac:dyDescent="0.15">
      <c r="A138" s="26" t="s">
        <v>140</v>
      </c>
      <c r="B138" s="2">
        <f t="shared" si="0"/>
        <v>122.69161895625001</v>
      </c>
      <c r="C138" s="2">
        <f ca="1">IFERROR(__xludf.DUMMYFUNCTION("IFERROR(STDEV.S(FILTER(J152:M152, J152:M152&lt;&gt;"""")))"),1.85622448548858)</f>
        <v>1.8562244854885801</v>
      </c>
      <c r="D138" s="47">
        <v>1.5129187319999999E-2</v>
      </c>
      <c r="E138" s="3"/>
      <c r="F138" s="3">
        <v>121331</v>
      </c>
      <c r="G138" s="16">
        <v>6933</v>
      </c>
      <c r="I138" s="6">
        <v>18092525</v>
      </c>
      <c r="J138" s="7"/>
      <c r="K138" s="7">
        <f t="shared" si="1"/>
        <v>121.331</v>
      </c>
      <c r="L138" s="6">
        <f t="shared" si="2"/>
        <v>125.43547582500001</v>
      </c>
      <c r="M138" s="23">
        <v>122</v>
      </c>
      <c r="N138" s="24">
        <v>122</v>
      </c>
    </row>
    <row r="139" spans="1:14" ht="28" x14ac:dyDescent="0.15">
      <c r="A139" s="26" t="s">
        <v>141</v>
      </c>
      <c r="B139" s="2">
        <f t="shared" si="0"/>
        <v>2.739366</v>
      </c>
      <c r="C139" s="2" t="str">
        <f ca="1">IFERROR(__xludf.DUMMYFUNCTION("IFERROR(STDEV.S(FILTER(J153:M153, J153:M153&lt;&gt;"""")))"),"")</f>
        <v/>
      </c>
      <c r="D139" s="47">
        <v>0</v>
      </c>
      <c r="E139" s="3"/>
      <c r="F139" s="3"/>
      <c r="G139" s="16">
        <v>9450</v>
      </c>
      <c r="I139" s="6">
        <v>289880</v>
      </c>
      <c r="J139" s="7"/>
      <c r="K139" s="7" t="str">
        <f t="shared" si="1"/>
        <v/>
      </c>
      <c r="L139" s="6">
        <f t="shared" si="2"/>
        <v>2.739366</v>
      </c>
      <c r="M139" s="23"/>
      <c r="N139" s="24"/>
    </row>
    <row r="140" spans="1:14" ht="14" x14ac:dyDescent="0.15">
      <c r="A140" s="26" t="s">
        <v>142</v>
      </c>
      <c r="B140" s="2">
        <f t="shared" si="0"/>
        <v>44.678474231000003</v>
      </c>
      <c r="C140" s="2">
        <f ca="1">IFERROR(__xludf.DUMMYFUNCTION("IFERROR(STDEV.S(FILTER(J154:M154, J154:M154&lt;&gt;"""")))"),0.447074998255881)</f>
        <v>0.44707499825588098</v>
      </c>
      <c r="D140" s="47">
        <v>1.0006496550000001E-2</v>
      </c>
      <c r="E140" s="3"/>
      <c r="F140" s="3">
        <v>44662</v>
      </c>
      <c r="G140" s="16">
        <v>8516</v>
      </c>
      <c r="I140" s="6">
        <v>5172839</v>
      </c>
      <c r="J140" s="7"/>
      <c r="K140" s="7">
        <f t="shared" si="1"/>
        <v>44.661999999999999</v>
      </c>
      <c r="L140" s="6">
        <f t="shared" si="2"/>
        <v>44.051896924000005</v>
      </c>
      <c r="M140" s="23">
        <v>45</v>
      </c>
      <c r="N140" s="24">
        <v>45</v>
      </c>
    </row>
    <row r="141" spans="1:14" ht="14" x14ac:dyDescent="0.15">
      <c r="A141" s="26" t="s">
        <v>143</v>
      </c>
      <c r="B141" s="2">
        <f t="shared" si="0"/>
        <v>4.2964097710000004</v>
      </c>
      <c r="C141" s="2">
        <f ca="1">IFERROR(__xludf.DUMMYFUNCTION("IFERROR(STDEV.S(FILTER(J155:M155, J155:M155&lt;&gt;"""")))"),0.102658086347568)</f>
        <v>0.102658086347568</v>
      </c>
      <c r="D141" s="47">
        <v>2.389392349E-2</v>
      </c>
      <c r="E141" s="3"/>
      <c r="F141" s="3">
        <v>4369</v>
      </c>
      <c r="G141" s="7">
        <v>619</v>
      </c>
      <c r="I141" s="6">
        <v>6823618</v>
      </c>
      <c r="J141" s="7"/>
      <c r="K141" s="7">
        <f t="shared" si="1"/>
        <v>4.3689999999999998</v>
      </c>
      <c r="L141" s="6">
        <f t="shared" si="2"/>
        <v>4.2238195420000002</v>
      </c>
      <c r="M141" s="23"/>
      <c r="N141" s="24"/>
    </row>
    <row r="142" spans="1:14" ht="14" x14ac:dyDescent="0.15">
      <c r="A142" s="26" t="s">
        <v>144</v>
      </c>
      <c r="B142" s="2">
        <f t="shared" si="0"/>
        <v>0.78339793000000002</v>
      </c>
      <c r="C142" s="2">
        <f ca="1">IFERROR(__xludf.DUMMYFUNCTION("IFERROR(STDEV.S(FILTER(J156:M156, J156:M156&lt;&gt;"""")))"),0.0019769715652482)</f>
        <v>1.9769715652481999E-3</v>
      </c>
      <c r="D142" s="47">
        <v>2.5235853829999998E-3</v>
      </c>
      <c r="E142" s="3"/>
      <c r="F142" s="3">
        <v>782</v>
      </c>
      <c r="G142" s="7">
        <v>30</v>
      </c>
      <c r="I142" s="6">
        <v>26159862</v>
      </c>
      <c r="J142" s="7"/>
      <c r="K142" s="7">
        <f t="shared" si="1"/>
        <v>0.78200000000000003</v>
      </c>
      <c r="L142" s="6">
        <f t="shared" si="2"/>
        <v>0.78479586000000001</v>
      </c>
      <c r="M142" s="23"/>
      <c r="N142" s="24"/>
    </row>
    <row r="143" spans="1:14" ht="14" x14ac:dyDescent="0.15">
      <c r="A143" s="26" t="s">
        <v>145</v>
      </c>
      <c r="B143" s="2">
        <f t="shared" si="0"/>
        <v>37.097424179500003</v>
      </c>
      <c r="C143" s="2">
        <f ca="1">IFERROR(__xludf.DUMMYFUNCTION("IFERROR(STDEV.S(FILTER(J157:M157, J157:M157&lt;&gt;"""")))"),3.35768619910968)</f>
        <v>3.35768619910968</v>
      </c>
      <c r="D143" s="47">
        <v>9.0509955160000002E-2</v>
      </c>
      <c r="E143" s="3"/>
      <c r="F143" s="3">
        <v>37915</v>
      </c>
      <c r="G143" s="7">
        <v>182</v>
      </c>
      <c r="I143" s="6">
        <v>227882949</v>
      </c>
      <c r="J143" s="7"/>
      <c r="K143" s="7">
        <f t="shared" si="1"/>
        <v>37.914999999999999</v>
      </c>
      <c r="L143" s="6">
        <f t="shared" si="2"/>
        <v>41.474696718000004</v>
      </c>
      <c r="M143" s="23">
        <v>35</v>
      </c>
      <c r="N143" s="24">
        <v>34</v>
      </c>
    </row>
    <row r="144" spans="1:14" ht="14" x14ac:dyDescent="0.15">
      <c r="A144" s="26" t="s">
        <v>146</v>
      </c>
      <c r="B144" s="2">
        <f t="shared" si="0"/>
        <v>0</v>
      </c>
      <c r="C144" s="2" t="str">
        <f ca="1">IFERROR(__xludf.DUMMYFUNCTION("IFERROR(STDEV.S(FILTER(J158:M158, J158:M158&lt;&gt;"""")))"),"")</f>
        <v/>
      </c>
      <c r="D144" s="47" t="s">
        <v>277</v>
      </c>
      <c r="E144" s="17"/>
      <c r="F144" s="17"/>
      <c r="G144" s="7">
        <v>0</v>
      </c>
      <c r="I144" s="6">
        <v>1841</v>
      </c>
      <c r="J144" s="7"/>
      <c r="K144" s="7" t="str">
        <f t="shared" si="1"/>
        <v/>
      </c>
      <c r="L144" s="6">
        <f t="shared" si="2"/>
        <v>0</v>
      </c>
      <c r="M144" s="21"/>
      <c r="N144" s="22"/>
    </row>
    <row r="145" spans="1:14" ht="14" x14ac:dyDescent="0.15">
      <c r="A145" s="26" t="s">
        <v>147</v>
      </c>
      <c r="B145" s="2">
        <f t="shared" si="0"/>
        <v>22.587557580000002</v>
      </c>
      <c r="C145" s="2" t="str">
        <f ca="1">IFERROR(__xludf.DUMMYFUNCTION("IFERROR(STDEV.S(FILTER(J160:M160, J160:M160&lt;&gt;"""")))"),"")</f>
        <v/>
      </c>
      <c r="D145" s="47">
        <v>0</v>
      </c>
      <c r="E145" s="3"/>
      <c r="F145" s="3"/>
      <c r="G145" s="16">
        <v>855</v>
      </c>
      <c r="I145" s="6">
        <v>26418196</v>
      </c>
      <c r="J145" s="7"/>
      <c r="K145" s="7" t="str">
        <f t="shared" si="1"/>
        <v/>
      </c>
      <c r="L145" s="6">
        <f t="shared" si="2"/>
        <v>22.587557580000002</v>
      </c>
      <c r="M145" s="23"/>
      <c r="N145" s="24"/>
    </row>
    <row r="146" spans="1:14" ht="28" x14ac:dyDescent="0.15">
      <c r="A146" s="26" t="s">
        <v>148</v>
      </c>
      <c r="B146" s="2">
        <f t="shared" si="0"/>
        <v>5.9569135000000006</v>
      </c>
      <c r="C146" s="2">
        <f ca="1">IFERROR(__xludf.DUMMYFUNCTION("IFERROR(STDEV.S(FILTER(J161:M161, J161:M161&lt;&gt;"""")))"),0.0338187960238092)</f>
        <v>3.3818796023809203E-2</v>
      </c>
      <c r="D146" s="47">
        <v>5.677234699E-3</v>
      </c>
      <c r="E146" s="3"/>
      <c r="F146" s="3">
        <v>5933</v>
      </c>
      <c r="G146" s="16">
        <v>3265</v>
      </c>
      <c r="I146" s="6">
        <v>1831800</v>
      </c>
      <c r="J146" s="7"/>
      <c r="K146" s="7">
        <f t="shared" si="1"/>
        <v>5.9329999999999998</v>
      </c>
      <c r="L146" s="6">
        <f t="shared" si="2"/>
        <v>5.9808270000000006</v>
      </c>
      <c r="M146" s="23"/>
      <c r="N146" s="24"/>
    </row>
    <row r="147" spans="1:14" ht="14" x14ac:dyDescent="0.15">
      <c r="A147" s="26" t="s">
        <v>149</v>
      </c>
      <c r="B147" s="2">
        <f t="shared" si="0"/>
        <v>152.43493032399999</v>
      </c>
      <c r="C147" s="2">
        <f ca="1">IFERROR(__xludf.DUMMYFUNCTION("IFERROR(STDEV.S(FILTER(J162:M162, J162:M162&lt;&gt;"""")))"),4.30955172253328)</f>
        <v>4.3095517225332802</v>
      </c>
      <c r="D147" s="47">
        <v>2.827141859E-2</v>
      </c>
      <c r="E147" s="3"/>
      <c r="F147" s="3">
        <v>154894</v>
      </c>
      <c r="G147" s="16">
        <v>28056</v>
      </c>
      <c r="I147" s="6">
        <v>5519166</v>
      </c>
      <c r="J147" s="7"/>
      <c r="K147" s="7">
        <f t="shared" si="1"/>
        <v>154.89400000000001</v>
      </c>
      <c r="L147" s="6">
        <f t="shared" si="2"/>
        <v>154.84572129600002</v>
      </c>
      <c r="M147" s="23">
        <v>154</v>
      </c>
      <c r="N147" s="24">
        <v>146</v>
      </c>
    </row>
    <row r="148" spans="1:14" ht="14" x14ac:dyDescent="0.15">
      <c r="A148" s="26" t="s">
        <v>150</v>
      </c>
      <c r="B148" s="2">
        <f t="shared" si="0"/>
        <v>45.733070296000001</v>
      </c>
      <c r="C148" s="2">
        <f ca="1">IFERROR(__xludf.DUMMYFUNCTION("IFERROR(STDEV.S(FILTER(J164:M164, J164:M164&lt;&gt;"""")))"),4.18899998530568)</f>
        <v>4.1889999853056796</v>
      </c>
      <c r="D148" s="47">
        <v>9.1596736410000004E-2</v>
      </c>
      <c r="E148" s="3"/>
      <c r="F148" s="3">
        <v>42771</v>
      </c>
      <c r="G148" s="7">
        <v>9644</v>
      </c>
      <c r="I148" s="6">
        <v>5049268</v>
      </c>
      <c r="J148" s="7"/>
      <c r="K148" s="7">
        <f t="shared" si="1"/>
        <v>42.771000000000001</v>
      </c>
      <c r="L148" s="6">
        <f t="shared" si="2"/>
        <v>48.695140592000001</v>
      </c>
      <c r="M148" s="23"/>
      <c r="N148" s="24"/>
    </row>
    <row r="149" spans="1:14" ht="14" x14ac:dyDescent="0.15">
      <c r="A149" s="26" t="s">
        <v>151</v>
      </c>
      <c r="B149" s="2">
        <f t="shared" si="0"/>
        <v>169.31350884</v>
      </c>
      <c r="C149" s="2">
        <f ca="1">IFERROR(__xludf.DUMMYFUNCTION("IFERROR(STDEV.S(FILTER(J166:M166, J166:M166&lt;&gt;"""")))"),4.92922887000351)</f>
        <v>4.9292288700035103</v>
      </c>
      <c r="D149" s="47">
        <v>2.911302768E-2</v>
      </c>
      <c r="E149" s="3"/>
      <c r="F149" s="3">
        <v>172799</v>
      </c>
      <c r="G149" s="16">
        <v>670</v>
      </c>
      <c r="I149" s="6">
        <v>247504504</v>
      </c>
      <c r="J149" s="7"/>
      <c r="K149" s="7">
        <f t="shared" si="1"/>
        <v>172.79900000000001</v>
      </c>
      <c r="L149" s="6">
        <f t="shared" si="2"/>
        <v>165.82801768000002</v>
      </c>
      <c r="M149" s="23"/>
      <c r="N149" s="24"/>
    </row>
    <row r="150" spans="1:14" ht="14" x14ac:dyDescent="0.15">
      <c r="A150" s="26" t="s">
        <v>152</v>
      </c>
      <c r="B150" s="2">
        <f t="shared" si="0"/>
        <v>0.95742857700000006</v>
      </c>
      <c r="C150" s="2" t="str">
        <f ca="1">IFERROR(__xludf.DUMMYFUNCTION("IFERROR(STDEV.S(FILTER(J167:M167, J167:M167&lt;&gt;"""")))"),"")</f>
        <v/>
      </c>
      <c r="D150" s="47">
        <v>0</v>
      </c>
      <c r="E150" s="3"/>
      <c r="F150" s="3"/>
      <c r="G150" s="16">
        <v>177</v>
      </c>
      <c r="I150" s="6">
        <v>5409201</v>
      </c>
      <c r="J150" s="7"/>
      <c r="K150" s="7" t="str">
        <f t="shared" si="1"/>
        <v/>
      </c>
      <c r="L150" s="6">
        <f t="shared" si="2"/>
        <v>0.95742857700000006</v>
      </c>
      <c r="M150" s="23"/>
      <c r="N150" s="24"/>
    </row>
    <row r="151" spans="1:14" ht="14" x14ac:dyDescent="0.15">
      <c r="A151" s="26" t="s">
        <v>153</v>
      </c>
      <c r="B151" s="2">
        <f t="shared" si="0"/>
        <v>12.876519885</v>
      </c>
      <c r="C151" s="2">
        <f ca="1">IFERROR(__xludf.DUMMYFUNCTION("IFERROR(STDEV.S(FILTER(J168:M168, J168:M168&lt;&gt;"""")))"),0.895932413400043)</f>
        <v>0.89593241340004304</v>
      </c>
      <c r="D151" s="47">
        <v>6.9578769839999999E-2</v>
      </c>
      <c r="E151" s="3"/>
      <c r="F151" s="3">
        <v>12243</v>
      </c>
      <c r="G151" s="16">
        <v>3030</v>
      </c>
      <c r="I151" s="6">
        <v>4458759</v>
      </c>
      <c r="J151" s="7"/>
      <c r="K151" s="7">
        <f t="shared" si="1"/>
        <v>12.243</v>
      </c>
      <c r="L151" s="6">
        <f t="shared" si="2"/>
        <v>13.510039770000001</v>
      </c>
      <c r="M151" s="23"/>
      <c r="N151" s="24"/>
    </row>
    <row r="152" spans="1:14" ht="28" x14ac:dyDescent="0.15">
      <c r="A152" s="26" t="s">
        <v>154</v>
      </c>
      <c r="B152" s="2">
        <f t="shared" si="0"/>
        <v>4.9454676879999999</v>
      </c>
      <c r="C152" s="2" t="str">
        <f ca="1">IFERROR(__xludf.DUMMYFUNCTION("IFERROR(STDEV.S(FILTER(J169:M169, J169:M169&lt;&gt;"""")))"),"")</f>
        <v/>
      </c>
      <c r="D152" s="47">
        <v>0</v>
      </c>
      <c r="E152" s="3"/>
      <c r="F152" s="3"/>
      <c r="G152" s="16">
        <v>476</v>
      </c>
      <c r="I152" s="6">
        <v>10389638</v>
      </c>
      <c r="J152" s="7"/>
      <c r="K152" s="7" t="str">
        <f t="shared" si="1"/>
        <v/>
      </c>
      <c r="L152" s="6">
        <f t="shared" si="2"/>
        <v>4.9454676879999999</v>
      </c>
      <c r="M152" s="23"/>
      <c r="N152" s="24"/>
    </row>
    <row r="153" spans="1:14" ht="14" x14ac:dyDescent="0.15">
      <c r="A153" s="26" t="s">
        <v>155</v>
      </c>
      <c r="B153" s="2">
        <f t="shared" si="0"/>
        <v>50.396133431999999</v>
      </c>
      <c r="C153" s="2">
        <f ca="1">IFERROR(__xludf.DUMMYFUNCTION("IFERROR(STDEV.S(FILTER(J170:M170, J170:M170&lt;&gt;"""")))"),8.8913493679837)</f>
        <v>8.8913493679837003</v>
      </c>
      <c r="D153" s="47">
        <v>0.17642919730000001</v>
      </c>
      <c r="E153" s="3"/>
      <c r="F153" s="3">
        <v>44109</v>
      </c>
      <c r="G153" s="16">
        <v>8282</v>
      </c>
      <c r="I153" s="6">
        <v>6844152</v>
      </c>
      <c r="J153" s="7"/>
      <c r="K153" s="7">
        <f t="shared" si="1"/>
        <v>44.109000000000002</v>
      </c>
      <c r="L153" s="6">
        <f t="shared" si="2"/>
        <v>56.683266864000004</v>
      </c>
      <c r="M153" s="23"/>
      <c r="N153" s="24"/>
    </row>
    <row r="154" spans="1:14" ht="14" x14ac:dyDescent="0.15">
      <c r="A154" s="26" t="s">
        <v>156</v>
      </c>
      <c r="B154" s="2">
        <f t="shared" si="0"/>
        <v>59.418800832500004</v>
      </c>
      <c r="C154" s="2">
        <f ca="1">IFERROR(__xludf.DUMMYFUNCTION("IFERROR(STDEV.S(FILTER(J171:M171, J171:M171&lt;&gt;"""")))"),0.506570120709247)</f>
        <v>0.50657012070924701</v>
      </c>
      <c r="D154" s="47">
        <v>8.5254181100000003E-3</v>
      </c>
      <c r="E154" s="3"/>
      <c r="F154" s="3">
        <v>59777</v>
      </c>
      <c r="G154" s="16">
        <v>1745</v>
      </c>
      <c r="I154" s="6">
        <v>33845617</v>
      </c>
      <c r="J154" s="7"/>
      <c r="K154" s="7">
        <f t="shared" si="1"/>
        <v>59.777000000000001</v>
      </c>
      <c r="L154" s="6">
        <f t="shared" si="2"/>
        <v>59.060601665000007</v>
      </c>
      <c r="M154" s="23"/>
      <c r="N154" s="24"/>
    </row>
    <row r="155" spans="1:14" ht="14" x14ac:dyDescent="0.15">
      <c r="A155" s="26" t="s">
        <v>157</v>
      </c>
      <c r="B155" s="2">
        <f t="shared" si="0"/>
        <v>113.6626648</v>
      </c>
      <c r="C155" s="2">
        <f ca="1">IFERROR(__xludf.DUMMYFUNCTION("IFERROR(STDEV.S(FILTER(J172:M172, J172:M172&lt;&gt;"""")))"),3.0372566875913)</f>
        <v>3.0372566875913001</v>
      </c>
      <c r="D155" s="47">
        <v>2.672167411E-2</v>
      </c>
      <c r="E155" s="3"/>
      <c r="F155" s="3">
        <v>111515</v>
      </c>
      <c r="G155" s="16">
        <v>1008</v>
      </c>
      <c r="I155" s="6">
        <v>114891200</v>
      </c>
      <c r="J155" s="7"/>
      <c r="K155" s="7">
        <f t="shared" si="1"/>
        <v>111.515</v>
      </c>
      <c r="L155" s="6">
        <f t="shared" si="2"/>
        <v>115.8103296</v>
      </c>
      <c r="M155" s="23"/>
      <c r="N155" s="24"/>
    </row>
    <row r="156" spans="1:14" ht="14" x14ac:dyDescent="0.15">
      <c r="A156" s="26" t="s">
        <v>158</v>
      </c>
      <c r="B156" s="2">
        <f t="shared" si="0"/>
        <v>168.95814742775002</v>
      </c>
      <c r="C156" s="2">
        <f ca="1">IFERROR(__xludf.DUMMYFUNCTION("IFERROR(STDEV.S(FILTER(J173:M173, J173:M173&lt;&gt;"""")))"),8.56936928654271)</f>
        <v>8.5693692865427096</v>
      </c>
      <c r="D156" s="47">
        <v>5.0718887589999997E-2</v>
      </c>
      <c r="E156" s="3"/>
      <c r="F156" s="3">
        <v>166401</v>
      </c>
      <c r="G156" s="16">
        <v>4113</v>
      </c>
      <c r="I156" s="6">
        <v>38762847</v>
      </c>
      <c r="J156" s="7"/>
      <c r="K156" s="7">
        <f t="shared" si="1"/>
        <v>166.40100000000001</v>
      </c>
      <c r="L156" s="6">
        <f t="shared" si="2"/>
        <v>159.43158971100002</v>
      </c>
      <c r="M156" s="23">
        <v>170</v>
      </c>
      <c r="N156" s="24">
        <v>180</v>
      </c>
    </row>
    <row r="157" spans="1:14" ht="14" x14ac:dyDescent="0.15">
      <c r="A157" s="26" t="s">
        <v>159</v>
      </c>
      <c r="B157" s="2">
        <f t="shared" si="0"/>
        <v>48.159654825000004</v>
      </c>
      <c r="C157" s="2">
        <f ca="1">IFERROR(__xludf.DUMMYFUNCTION("IFERROR(STDEV.S(FILTER(J174:M174, J174:M174&lt;&gt;"""")))"),1.6488456174497)</f>
        <v>1.6488456174496999</v>
      </c>
      <c r="D157" s="47">
        <v>3.4237072989999999E-2</v>
      </c>
      <c r="E157" s="3"/>
      <c r="F157" s="3">
        <v>48952</v>
      </c>
      <c r="G157" s="16">
        <v>4380</v>
      </c>
      <c r="I157" s="6">
        <v>10430735</v>
      </c>
      <c r="J157" s="7"/>
      <c r="K157" s="7">
        <f t="shared" si="1"/>
        <v>48.951999999999998</v>
      </c>
      <c r="L157" s="6">
        <f t="shared" si="2"/>
        <v>45.686619300000004</v>
      </c>
      <c r="M157" s="23">
        <v>49</v>
      </c>
      <c r="N157" s="24">
        <v>49</v>
      </c>
    </row>
    <row r="158" spans="1:14" ht="14" x14ac:dyDescent="0.15">
      <c r="A158" s="26" t="s">
        <v>160</v>
      </c>
      <c r="B158" s="2">
        <f t="shared" si="0"/>
        <v>19.267342688999999</v>
      </c>
      <c r="C158" s="2" t="str">
        <f ca="1">IFERROR(__xludf.DUMMYFUNCTION("IFERROR(STDEV.S(FILTER(J175:M175, J175:M175&lt;&gt;"""")))"),"")</f>
        <v/>
      </c>
      <c r="D158" s="47">
        <v>0</v>
      </c>
      <c r="E158" s="3"/>
      <c r="F158" s="3"/>
      <c r="G158" s="16">
        <v>5943</v>
      </c>
      <c r="I158" s="6">
        <v>3242023</v>
      </c>
      <c r="J158" s="7"/>
      <c r="K158" s="7" t="str">
        <f t="shared" si="1"/>
        <v/>
      </c>
      <c r="L158" s="6">
        <f t="shared" si="2"/>
        <v>19.267342688999999</v>
      </c>
      <c r="M158" s="23"/>
      <c r="N158" s="24"/>
    </row>
    <row r="159" spans="1:14" ht="14" x14ac:dyDescent="0.15">
      <c r="A159" s="26" t="s">
        <v>161</v>
      </c>
      <c r="B159" s="2">
        <f t="shared" si="0"/>
        <v>57.136629500500007</v>
      </c>
      <c r="C159" s="2">
        <f ca="1">IFERROR(__xludf.DUMMYFUNCTION("IFERROR(STDEV.S(FILTER(J176:M176, J176:M176&lt;&gt;"""")))"),3.5548089303882)</f>
        <v>3.5548089303881998</v>
      </c>
      <c r="D159" s="47">
        <v>6.2215936809999997E-2</v>
      </c>
      <c r="E159" s="3"/>
      <c r="F159" s="3">
        <v>54623</v>
      </c>
      <c r="G159" s="16">
        <v>20023</v>
      </c>
      <c r="I159" s="6">
        <v>2979087</v>
      </c>
      <c r="J159" s="7"/>
      <c r="K159" s="7">
        <f t="shared" si="1"/>
        <v>54.623000000000005</v>
      </c>
      <c r="L159" s="6">
        <f t="shared" si="2"/>
        <v>59.650259001000002</v>
      </c>
      <c r="M159" s="23"/>
      <c r="N159" s="24"/>
    </row>
    <row r="160" spans="1:14" ht="14" x14ac:dyDescent="0.15">
      <c r="A160" s="26" t="s">
        <v>162</v>
      </c>
      <c r="B160" s="2">
        <f t="shared" si="0"/>
        <v>56.022045687249999</v>
      </c>
      <c r="C160" s="2">
        <f ca="1">IFERROR(__xludf.DUMMYFUNCTION("IFERROR(STDEV.S(FILTER(J177:M177, J177:M177&lt;&gt;"""")))"),1.59799420325605)</f>
        <v>1.5979942032560499</v>
      </c>
      <c r="D160" s="47">
        <v>2.852438149E-2</v>
      </c>
      <c r="E160" s="3"/>
      <c r="F160" s="3">
        <v>56002</v>
      </c>
      <c r="G160" s="16">
        <v>2829</v>
      </c>
      <c r="I160" s="6">
        <v>19118481</v>
      </c>
      <c r="J160" s="7"/>
      <c r="K160" s="7">
        <f t="shared" si="1"/>
        <v>56.002000000000002</v>
      </c>
      <c r="L160" s="6">
        <f t="shared" si="2"/>
        <v>54.086182749000002</v>
      </c>
      <c r="M160" s="23">
        <v>58</v>
      </c>
      <c r="N160" s="24">
        <v>56</v>
      </c>
    </row>
    <row r="161" spans="1:14" ht="14" x14ac:dyDescent="0.15">
      <c r="A161" s="26" t="s">
        <v>163</v>
      </c>
      <c r="B161" s="2">
        <f t="shared" si="0"/>
        <v>1171.1964971520001</v>
      </c>
      <c r="C161" s="2">
        <f ca="1">IFERROR(__xludf.DUMMYFUNCTION("IFERROR(STDEV.S(FILTER(J178:M178, J178:M178&lt;&gt;"""")))"),14.806928649841)</f>
        <v>14.806928649841</v>
      </c>
      <c r="D161" s="47">
        <v>1.264256569E-2</v>
      </c>
      <c r="E161" s="17"/>
      <c r="F161" s="17">
        <v>1151155</v>
      </c>
      <c r="G161" s="16">
        <v>8152</v>
      </c>
      <c r="I161" s="6">
        <v>145440504</v>
      </c>
      <c r="J161" s="7"/>
      <c r="K161" s="7">
        <f t="shared" si="1"/>
        <v>1151.155</v>
      </c>
      <c r="L161" s="6">
        <f t="shared" si="2"/>
        <v>1185.6309886080001</v>
      </c>
      <c r="M161" s="21">
        <v>1178</v>
      </c>
      <c r="N161" s="22">
        <v>1170</v>
      </c>
    </row>
    <row r="162" spans="1:14" ht="14" x14ac:dyDescent="0.15">
      <c r="A162" s="26" t="s">
        <v>164</v>
      </c>
      <c r="B162" s="2">
        <f t="shared" si="0"/>
        <v>1.0458838269999999</v>
      </c>
      <c r="C162" s="2">
        <f ca="1">IFERROR(__xludf.DUMMYFUNCTION("IFERROR(STDEV.S(FILTER(J179:M179, J179:M179&lt;&gt;"""")))"),0.0779460393627016)</f>
        <v>7.79460393627016E-2</v>
      </c>
      <c r="D162" s="47">
        <v>7.4526479280000002E-2</v>
      </c>
      <c r="E162" s="3"/>
      <c r="F162" s="3">
        <v>1101</v>
      </c>
      <c r="G162" s="16">
        <v>71</v>
      </c>
      <c r="I162" s="6">
        <v>13954474</v>
      </c>
      <c r="J162" s="7"/>
      <c r="K162" s="7">
        <f t="shared" si="1"/>
        <v>1.101</v>
      </c>
      <c r="L162" s="6">
        <f t="shared" si="2"/>
        <v>0.99076765400000011</v>
      </c>
      <c r="M162" s="23"/>
      <c r="N162" s="24"/>
    </row>
    <row r="163" spans="1:14" ht="14" x14ac:dyDescent="0.15">
      <c r="A163" s="26" t="s">
        <v>165</v>
      </c>
      <c r="B163" s="2">
        <f t="shared" si="0"/>
        <v>9.8452320000000006E-3</v>
      </c>
      <c r="C163" s="2" t="str">
        <f ca="1">IFERROR(__xludf.DUMMYFUNCTION("IFERROR(STDEV.S(FILTER(J180:M180, J180:M180&lt;&gt;"""")))"),"")</f>
        <v/>
      </c>
      <c r="D163" s="47">
        <v>0</v>
      </c>
      <c r="E163" s="3"/>
      <c r="F163" s="3"/>
      <c r="G163" s="16">
        <v>1852</v>
      </c>
      <c r="I163" s="6">
        <v>5316</v>
      </c>
      <c r="J163" s="7"/>
      <c r="K163" s="7" t="str">
        <f t="shared" si="1"/>
        <v/>
      </c>
      <c r="L163" s="6">
        <f t="shared" si="2"/>
        <v>9.8452320000000006E-3</v>
      </c>
      <c r="M163" s="23"/>
      <c r="N163" s="24"/>
    </row>
    <row r="164" spans="1:14" ht="28" x14ac:dyDescent="0.15">
      <c r="A164" s="26" t="s">
        <v>166</v>
      </c>
      <c r="B164" s="2">
        <f t="shared" si="0"/>
        <v>0.21585676200000001</v>
      </c>
      <c r="C164" s="2" t="str">
        <f ca="1">IFERROR(__xludf.DUMMYFUNCTION("IFERROR(STDEV.S(FILTER(J181:M181, J181:M181&lt;&gt;"""")))"),"")</f>
        <v/>
      </c>
      <c r="D164" s="47">
        <v>0</v>
      </c>
      <c r="E164" s="3"/>
      <c r="F164" s="3"/>
      <c r="G164" s="16">
        <v>4614</v>
      </c>
      <c r="I164" s="6">
        <v>46783</v>
      </c>
      <c r="J164" s="7"/>
      <c r="K164" s="7" t="str">
        <f t="shared" si="1"/>
        <v/>
      </c>
      <c r="L164" s="6">
        <f t="shared" si="2"/>
        <v>0.21585676200000001</v>
      </c>
      <c r="M164" s="23"/>
      <c r="N164" s="24"/>
    </row>
    <row r="165" spans="1:14" ht="14" x14ac:dyDescent="0.15">
      <c r="A165" s="26" t="s">
        <v>167</v>
      </c>
      <c r="B165" s="2">
        <f t="shared" si="0"/>
        <v>2.5567072240000002</v>
      </c>
      <c r="C165" s="2" t="str">
        <f ca="1">IFERROR(__xludf.DUMMYFUNCTION("IFERROR(STDEV.S(FILTER(J182:M182, J182:M182&lt;&gt;"""")))"),"")</f>
        <v/>
      </c>
      <c r="D165" s="47">
        <v>0</v>
      </c>
      <c r="E165" s="3"/>
      <c r="F165" s="3"/>
      <c r="G165" s="16">
        <v>2168</v>
      </c>
      <c r="I165" s="6">
        <v>1179293</v>
      </c>
      <c r="J165" s="7"/>
      <c r="K165" s="7" t="str">
        <f t="shared" si="1"/>
        <v/>
      </c>
      <c r="L165" s="6">
        <f t="shared" si="2"/>
        <v>2.5567072240000002</v>
      </c>
      <c r="M165" s="23"/>
      <c r="N165" s="24"/>
    </row>
    <row r="166" spans="1:14" ht="28" x14ac:dyDescent="0.15">
      <c r="A166" s="26" t="s">
        <v>168</v>
      </c>
      <c r="B166" s="2">
        <f t="shared" si="0"/>
        <v>4.8486672000000001E-2</v>
      </c>
      <c r="C166" s="2" t="str">
        <f ca="1">IFERROR(__xludf.DUMMYFUNCTION("IFERROR(STDEV.S(FILTER(J183:M183, J183:M183&lt;&gt;"""")))"),"")</f>
        <v/>
      </c>
      <c r="D166" s="47">
        <v>0</v>
      </c>
      <c r="E166" s="3"/>
      <c r="F166" s="3"/>
      <c r="G166" s="16">
        <v>8496</v>
      </c>
      <c r="I166" s="6">
        <v>5707</v>
      </c>
      <c r="J166" s="7"/>
      <c r="K166" s="7" t="str">
        <f t="shared" si="1"/>
        <v/>
      </c>
      <c r="L166" s="6">
        <f t="shared" si="2"/>
        <v>4.8486672000000001E-2</v>
      </c>
      <c r="M166" s="23"/>
      <c r="N166" s="24"/>
    </row>
    <row r="167" spans="1:14" ht="42" x14ac:dyDescent="0.15">
      <c r="A167" s="26" t="s">
        <v>169</v>
      </c>
      <c r="B167" s="2">
        <f t="shared" si="0"/>
        <v>0.165676185</v>
      </c>
      <c r="C167" s="2" t="str">
        <f ca="1">IFERROR(__xludf.DUMMYFUNCTION("IFERROR(STDEV.S(FILTER(J184:M184, J184:M184&lt;&gt;"""")))"),"")</f>
        <v/>
      </c>
      <c r="D167" s="47">
        <v>0</v>
      </c>
      <c r="E167" s="3"/>
      <c r="F167" s="3"/>
      <c r="G167" s="16">
        <v>1635</v>
      </c>
      <c r="I167" s="6">
        <v>101331</v>
      </c>
      <c r="J167" s="7"/>
      <c r="K167" s="7" t="str">
        <f t="shared" si="1"/>
        <v/>
      </c>
      <c r="L167" s="6">
        <f t="shared" si="2"/>
        <v>0.165676185</v>
      </c>
      <c r="M167" s="23"/>
      <c r="N167" s="24"/>
    </row>
    <row r="168" spans="1:14" ht="14" x14ac:dyDescent="0.15">
      <c r="A168" s="26" t="s">
        <v>170</v>
      </c>
      <c r="B168" s="2">
        <f t="shared" si="0"/>
        <v>0.185039596</v>
      </c>
      <c r="C168" s="2" t="str">
        <f ca="1">IFERROR(__xludf.DUMMYFUNCTION("IFERROR(STDEV.S(FILTER(J185:M185, J185:M185&lt;&gt;"""")))"),"")</f>
        <v/>
      </c>
      <c r="D168" s="47">
        <v>0</v>
      </c>
      <c r="E168" s="3"/>
      <c r="F168" s="3"/>
      <c r="G168" s="16">
        <v>854</v>
      </c>
      <c r="I168" s="6">
        <v>216674</v>
      </c>
      <c r="J168" s="7"/>
      <c r="K168" s="7" t="str">
        <f t="shared" si="1"/>
        <v/>
      </c>
      <c r="L168" s="6">
        <f t="shared" si="2"/>
        <v>0.185039596</v>
      </c>
      <c r="M168" s="23"/>
      <c r="N168" s="24"/>
    </row>
    <row r="169" spans="1:14" ht="28" x14ac:dyDescent="0.15">
      <c r="A169" s="26" t="s">
        <v>171</v>
      </c>
      <c r="B169" s="2">
        <f t="shared" si="0"/>
        <v>0.14222269600000001</v>
      </c>
      <c r="C169" s="2" t="str">
        <f ca="1">IFERROR(__xludf.DUMMYFUNCTION("IFERROR(STDEV.S(FILTER(J186:M186, J186:M186&lt;&gt;"""")))"),"")</f>
        <v/>
      </c>
      <c r="D169" s="47">
        <v>0</v>
      </c>
      <c r="E169" s="3"/>
      <c r="F169" s="3"/>
      <c r="G169" s="16">
        <v>616</v>
      </c>
      <c r="I169" s="6">
        <v>230881</v>
      </c>
      <c r="J169" s="7"/>
      <c r="K169" s="7" t="str">
        <f t="shared" si="1"/>
        <v/>
      </c>
      <c r="L169" s="6">
        <f t="shared" si="2"/>
        <v>0.14222269600000001</v>
      </c>
      <c r="M169" s="23"/>
      <c r="N169" s="24"/>
    </row>
    <row r="170" spans="1:14" ht="14" x14ac:dyDescent="0.15">
      <c r="A170" s="26" t="s">
        <v>172</v>
      </c>
      <c r="B170" s="2">
        <f t="shared" si="0"/>
        <v>399.63719404</v>
      </c>
      <c r="C170" s="2">
        <f ca="1">IFERROR(__xludf.DUMMYFUNCTION("IFERROR(STDEV.S(FILTER(J187:M187, J187:M187&lt;&gt;"""")))"),17.7716454325315)</f>
        <v>17.7716454325315</v>
      </c>
      <c r="D170" s="47">
        <v>4.4469448029999997E-2</v>
      </c>
      <c r="E170" s="3"/>
      <c r="F170" s="3">
        <v>418839</v>
      </c>
      <c r="G170" s="16">
        <v>11445</v>
      </c>
      <c r="I170" s="6">
        <v>33264288</v>
      </c>
      <c r="J170" s="7"/>
      <c r="K170" s="7">
        <f t="shared" si="1"/>
        <v>418.839</v>
      </c>
      <c r="L170" s="6">
        <f t="shared" si="2"/>
        <v>380.70977616000005</v>
      </c>
      <c r="M170" s="23">
        <v>410</v>
      </c>
      <c r="N170" s="24">
        <v>389</v>
      </c>
    </row>
    <row r="171" spans="1:14" ht="14" x14ac:dyDescent="0.15">
      <c r="A171" s="26" t="s">
        <v>173</v>
      </c>
      <c r="B171" s="2">
        <f t="shared" si="0"/>
        <v>7.823876352000001</v>
      </c>
      <c r="C171" s="2">
        <f ca="1">IFERROR(__xludf.DUMMYFUNCTION("IFERROR(STDEV.S(FILTER(J188:M188, J188:M188&lt;&gt;"""")))"),0.38873386497404)</f>
        <v>0.38873386497404</v>
      </c>
      <c r="D171" s="47">
        <v>4.9685583909999997E-2</v>
      </c>
      <c r="E171" s="3"/>
      <c r="F171" s="3">
        <v>7549</v>
      </c>
      <c r="G171" s="16">
        <v>448</v>
      </c>
      <c r="I171" s="6">
        <v>18077573</v>
      </c>
      <c r="J171" s="7"/>
      <c r="K171" s="7">
        <f t="shared" si="1"/>
        <v>7.5490000000000004</v>
      </c>
      <c r="L171" s="6">
        <f t="shared" si="2"/>
        <v>8.0987527040000007</v>
      </c>
      <c r="M171" s="23"/>
      <c r="N171" s="24"/>
    </row>
    <row r="172" spans="1:14" ht="14" x14ac:dyDescent="0.15">
      <c r="A172" s="26" t="s">
        <v>174</v>
      </c>
      <c r="B172" s="2">
        <f t="shared" si="0"/>
        <v>36.330509227500002</v>
      </c>
      <c r="C172" s="2">
        <f ca="1">IFERROR(__xludf.DUMMYFUNCTION("IFERROR(STDEV.S(FILTER(J189:M189, J189:M189&lt;&gt;"""")))"),1.16037527758276)</f>
        <v>1.16037527758276</v>
      </c>
      <c r="D172" s="47">
        <v>3.1939416819999997E-2</v>
      </c>
      <c r="E172" s="3"/>
      <c r="F172" s="3">
        <v>35510</v>
      </c>
      <c r="G172" s="16">
        <v>5485</v>
      </c>
      <c r="I172" s="6">
        <v>6773203</v>
      </c>
      <c r="J172" s="7"/>
      <c r="K172" s="7">
        <f t="shared" si="1"/>
        <v>35.51</v>
      </c>
      <c r="L172" s="6">
        <f t="shared" si="2"/>
        <v>37.151018454999999</v>
      </c>
      <c r="M172" s="23"/>
      <c r="N172" s="24"/>
    </row>
    <row r="173" spans="1:14" ht="14" x14ac:dyDescent="0.15">
      <c r="A173" s="26" t="s">
        <v>175</v>
      </c>
      <c r="B173" s="2">
        <f t="shared" si="0"/>
        <v>0.74051030700000009</v>
      </c>
      <c r="C173" s="2" t="str">
        <f ca="1">IFERROR(__xludf.DUMMYFUNCTION("IFERROR(STDEV.S(FILTER(J190:M190, J190:M190&lt;&gt;"""")))"),"")</f>
        <v/>
      </c>
      <c r="D173" s="47">
        <v>0</v>
      </c>
      <c r="E173" s="3"/>
      <c r="F173" s="3"/>
      <c r="G173" s="16">
        <v>5787</v>
      </c>
      <c r="I173" s="6">
        <v>127961</v>
      </c>
      <c r="J173" s="7"/>
      <c r="K173" s="7" t="str">
        <f t="shared" si="1"/>
        <v/>
      </c>
      <c r="L173" s="6">
        <f t="shared" si="2"/>
        <v>0.74051030700000009</v>
      </c>
      <c r="M173" s="23"/>
      <c r="N173" s="24"/>
    </row>
    <row r="174" spans="1:14" ht="14" x14ac:dyDescent="0.15">
      <c r="A174" s="26" t="s">
        <v>176</v>
      </c>
      <c r="B174" s="2">
        <f t="shared" si="0"/>
        <v>0.194592029</v>
      </c>
      <c r="C174" s="2" t="str">
        <f ca="1">IFERROR(__xludf.DUMMYFUNCTION("IFERROR(STDEV.S(FILTER(J191:M191, J191:M191&lt;&gt;"""")))"),"")</f>
        <v/>
      </c>
      <c r="D174" s="47">
        <v>0</v>
      </c>
      <c r="E174" s="3"/>
      <c r="F174" s="3"/>
      <c r="G174" s="16">
        <v>23</v>
      </c>
      <c r="I174" s="6">
        <v>8460523</v>
      </c>
      <c r="J174" s="7"/>
      <c r="K174" s="7" t="str">
        <f t="shared" si="1"/>
        <v/>
      </c>
      <c r="L174" s="6">
        <f t="shared" si="2"/>
        <v>0.194592029</v>
      </c>
      <c r="M174" s="23"/>
      <c r="N174" s="24"/>
    </row>
    <row r="175" spans="1:14" ht="14" x14ac:dyDescent="0.15">
      <c r="A175" s="26" t="s">
        <v>177</v>
      </c>
      <c r="B175" s="2">
        <f t="shared" si="0"/>
        <v>57.382653853000001</v>
      </c>
      <c r="C175" s="2">
        <f ca="1">IFERROR(__xludf.DUMMYFUNCTION("IFERROR(STDEV.S(FILTER(J192:M192, J192:M192&lt;&gt;"""")))"),1.61685163460895)</f>
        <v>1.6168516346089501</v>
      </c>
      <c r="D175" s="47">
        <v>2.8176661870000001E-2</v>
      </c>
      <c r="E175" s="3"/>
      <c r="F175" s="3">
        <v>57349</v>
      </c>
      <c r="G175" s="16">
        <v>9532</v>
      </c>
      <c r="I175" s="6">
        <v>5789091</v>
      </c>
      <c r="J175" s="7"/>
      <c r="K175" s="7">
        <f t="shared" si="1"/>
        <v>57.349000000000004</v>
      </c>
      <c r="L175" s="6">
        <f t="shared" si="2"/>
        <v>55.181615412000006</v>
      </c>
      <c r="M175" s="23">
        <v>59</v>
      </c>
      <c r="N175" s="24">
        <v>58</v>
      </c>
    </row>
    <row r="176" spans="1:14" ht="28" x14ac:dyDescent="0.15">
      <c r="A176" s="26" t="s">
        <v>178</v>
      </c>
      <c r="B176" s="2">
        <f t="shared" si="0"/>
        <v>28.942912720500001</v>
      </c>
      <c r="C176" s="2">
        <f ca="1">IFERROR(__xludf.DUMMYFUNCTION("IFERROR(STDEV.S(FILTER(J193:M193, J193:M193&lt;&gt;"""")))"),1.0310851188226)</f>
        <v>1.0310851188226</v>
      </c>
      <c r="D176" s="47">
        <v>3.5624787620000001E-2</v>
      </c>
      <c r="E176" s="3"/>
      <c r="F176" s="3">
        <v>29672</v>
      </c>
      <c r="G176" s="16">
        <v>5113</v>
      </c>
      <c r="I176" s="6">
        <v>5518057</v>
      </c>
      <c r="J176" s="7"/>
      <c r="K176" s="7">
        <f t="shared" si="1"/>
        <v>29.672000000000001</v>
      </c>
      <c r="L176" s="6">
        <f t="shared" si="2"/>
        <v>28.213825441000001</v>
      </c>
      <c r="M176" s="23"/>
      <c r="N176" s="24"/>
    </row>
    <row r="177" spans="1:14" ht="14" x14ac:dyDescent="0.15">
      <c r="A177" s="26" t="s">
        <v>179</v>
      </c>
      <c r="B177" s="2">
        <f t="shared" si="0"/>
        <v>15.60303805</v>
      </c>
      <c r="C177" s="2">
        <f ca="1">IFERROR(__xludf.DUMMYFUNCTION("IFERROR(STDEV.S(FILTER(J194:M194, J194:M194&lt;&gt;"""")))"),0.555732119186578)</f>
        <v>0.55573211918657806</v>
      </c>
      <c r="D177" s="47">
        <v>3.5616917509999999E-2</v>
      </c>
      <c r="E177" s="3"/>
      <c r="F177" s="3">
        <v>15996</v>
      </c>
      <c r="G177" s="16">
        <v>7180</v>
      </c>
      <c r="I177" s="6">
        <v>2118395</v>
      </c>
      <c r="J177" s="7"/>
      <c r="K177" s="7">
        <f t="shared" si="1"/>
        <v>15.996</v>
      </c>
      <c r="L177" s="6">
        <f t="shared" si="2"/>
        <v>15.2100761</v>
      </c>
      <c r="M177" s="23"/>
      <c r="N177" s="24"/>
    </row>
    <row r="178" spans="1:14" ht="14" x14ac:dyDescent="0.15">
      <c r="A178" s="46" t="s">
        <v>284</v>
      </c>
      <c r="B178" s="2">
        <f t="shared" si="0"/>
        <v>0.11040179400000001</v>
      </c>
      <c r="C178" s="2" t="str">
        <f ca="1">IFERROR(__xludf.DUMMYFUNCTION("IFERROR(STDEV.S(FILTER(J195:M195, J195:M195&lt;&gt;"""")))"),"")</f>
        <v/>
      </c>
      <c r="D178" s="47">
        <v>0</v>
      </c>
      <c r="E178" s="3"/>
      <c r="F178" s="3"/>
      <c r="G178" s="16">
        <v>138</v>
      </c>
      <c r="I178" s="6">
        <v>800013</v>
      </c>
      <c r="J178" s="7"/>
      <c r="K178" s="7" t="str">
        <f t="shared" si="1"/>
        <v/>
      </c>
      <c r="L178" s="6">
        <f t="shared" si="2"/>
        <v>0.11040179400000001</v>
      </c>
      <c r="M178" s="23"/>
      <c r="N178" s="24"/>
    </row>
    <row r="179" spans="1:14" ht="14" x14ac:dyDescent="0.15">
      <c r="A179" s="26" t="s">
        <v>180</v>
      </c>
      <c r="B179" s="2">
        <f t="shared" si="0"/>
        <v>0.40388966200000004</v>
      </c>
      <c r="C179" s="2" t="str">
        <f ca="1">IFERROR(__xludf.DUMMYFUNCTION("IFERROR(STDEV.S(FILTER(J196:M196, J196:M196&lt;&gt;"""")))"),"")</f>
        <v/>
      </c>
      <c r="D179" s="47">
        <v>0</v>
      </c>
      <c r="E179" s="3"/>
      <c r="F179" s="3"/>
      <c r="G179" s="16">
        <v>22</v>
      </c>
      <c r="I179" s="6">
        <v>18358621</v>
      </c>
      <c r="J179" s="7"/>
      <c r="K179" s="7" t="str">
        <f t="shared" si="1"/>
        <v/>
      </c>
      <c r="L179" s="6">
        <f t="shared" si="2"/>
        <v>0.40388966200000004</v>
      </c>
      <c r="M179" s="23"/>
      <c r="N179" s="24"/>
    </row>
    <row r="180" spans="1:14" ht="14" x14ac:dyDescent="0.15">
      <c r="A180" s="26" t="s">
        <v>181</v>
      </c>
      <c r="B180" s="2">
        <f t="shared" si="0"/>
        <v>233.19820477000002</v>
      </c>
      <c r="C180" s="2">
        <f ca="1">IFERROR(__xludf.DUMMYFUNCTION("IFERROR(STDEV.S(FILTER(J197:M197, J197:M197&lt;&gt;"""")))"),6.41826711021517)</f>
        <v>6.4182671102151696</v>
      </c>
      <c r="D180" s="47">
        <v>2.752279811E-2</v>
      </c>
      <c r="E180" s="3"/>
      <c r="F180" s="3">
        <v>234850</v>
      </c>
      <c r="G180" s="16">
        <v>3780</v>
      </c>
      <c r="I180" s="6">
        <v>63212386</v>
      </c>
      <c r="J180" s="7"/>
      <c r="K180" s="7">
        <f t="shared" si="1"/>
        <v>234.85</v>
      </c>
      <c r="L180" s="6">
        <f t="shared" si="2"/>
        <v>238.94281908000002</v>
      </c>
      <c r="M180" s="23">
        <v>224</v>
      </c>
      <c r="N180" s="24">
        <v>235</v>
      </c>
    </row>
    <row r="181" spans="1:14" ht="14" x14ac:dyDescent="0.15">
      <c r="A181" s="26" t="s">
        <v>182</v>
      </c>
      <c r="B181" s="2">
        <f t="shared" si="0"/>
        <v>615.59296314599999</v>
      </c>
      <c r="C181" s="2">
        <f ca="1">IFERROR(__xludf.DUMMYFUNCTION("IFERROR(STDEV.S(FILTER(J199:M199, J199:M199&lt;&gt;"""")))"),8.9186994382352)</f>
        <v>8.9186994382351994</v>
      </c>
      <c r="D181" s="47">
        <v>1.448798146E-2</v>
      </c>
      <c r="E181" s="3"/>
      <c r="F181" s="3">
        <v>604580</v>
      </c>
      <c r="G181" s="16">
        <v>11861</v>
      </c>
      <c r="I181" s="6">
        <v>51748744</v>
      </c>
      <c r="J181" s="7"/>
      <c r="K181" s="7">
        <f t="shared" si="1"/>
        <v>604.58000000000004</v>
      </c>
      <c r="L181" s="6">
        <f t="shared" si="2"/>
        <v>613.79185258400003</v>
      </c>
      <c r="M181" s="23">
        <v>618</v>
      </c>
      <c r="N181" s="24">
        <v>626</v>
      </c>
    </row>
    <row r="182" spans="1:14" ht="14" x14ac:dyDescent="0.15">
      <c r="A182" s="46" t="s">
        <v>286</v>
      </c>
      <c r="B182" s="2">
        <f t="shared" si="0"/>
        <v>0.59627613050000006</v>
      </c>
      <c r="C182" s="2">
        <f ca="1">IFERROR(__xludf.DUMMYFUNCTION("IFERROR(STDEV.S(FILTER(J200:M200, J200:M200&lt;&gt;"""")))"),0.0824148941157244)</f>
        <v>8.2414894115724405E-2</v>
      </c>
      <c r="D182" s="47">
        <v>0.13821598739999999</v>
      </c>
      <c r="E182" s="3"/>
      <c r="F182" s="3">
        <v>538</v>
      </c>
      <c r="G182" s="16">
        <v>57</v>
      </c>
      <c r="I182" s="6">
        <v>11483373</v>
      </c>
      <c r="J182" s="7"/>
      <c r="K182" s="7">
        <f t="shared" si="1"/>
        <v>0.53800000000000003</v>
      </c>
      <c r="L182" s="6">
        <f t="shared" si="2"/>
        <v>0.65455226100000008</v>
      </c>
      <c r="M182" s="23"/>
      <c r="N182" s="24"/>
    </row>
    <row r="183" spans="1:14" ht="14" x14ac:dyDescent="0.15">
      <c r="A183" s="26" t="s">
        <v>183</v>
      </c>
      <c r="B183" s="2">
        <f t="shared" si="0"/>
        <v>282.87876417275004</v>
      </c>
      <c r="C183" s="2">
        <f ca="1">IFERROR(__xludf.DUMMYFUNCTION("IFERROR(STDEV.S(FILTER(J201:M201, J201:M201&lt;&gt;"""")))"),8.35518674472502)</f>
        <v>8.3551867447250192</v>
      </c>
      <c r="D183" s="47">
        <v>2.9536281269999999E-2</v>
      </c>
      <c r="E183" s="3"/>
      <c r="F183" s="3">
        <v>285521</v>
      </c>
      <c r="G183" s="16">
        <v>5677</v>
      </c>
      <c r="I183" s="6">
        <v>47911583</v>
      </c>
      <c r="J183" s="7"/>
      <c r="K183" s="7">
        <f t="shared" si="1"/>
        <v>285.52100000000002</v>
      </c>
      <c r="L183" s="6">
        <f t="shared" si="2"/>
        <v>271.99405669100003</v>
      </c>
      <c r="M183" s="23">
        <v>282</v>
      </c>
      <c r="N183" s="24">
        <v>292</v>
      </c>
    </row>
    <row r="184" spans="1:14" ht="14" x14ac:dyDescent="0.15">
      <c r="A184" s="26" t="s">
        <v>184</v>
      </c>
      <c r="B184" s="2">
        <f t="shared" si="0"/>
        <v>17.430703168000001</v>
      </c>
      <c r="C184" s="2">
        <f ca="1">IFERROR(__xludf.DUMMYFUNCTION("IFERROR(STDEV.S(FILTER(J202:M202, J202:M202&lt;&gt;"""")))"),1.20873281198885)</f>
        <v>1.2087328119888501</v>
      </c>
      <c r="D184" s="47">
        <v>6.934504021E-2</v>
      </c>
      <c r="E184" s="3"/>
      <c r="F184" s="3">
        <v>16576</v>
      </c>
      <c r="G184" s="16">
        <v>796</v>
      </c>
      <c r="I184" s="6">
        <v>22971616</v>
      </c>
      <c r="J184" s="7"/>
      <c r="K184" s="7">
        <f t="shared" si="1"/>
        <v>16.576000000000001</v>
      </c>
      <c r="L184" s="6">
        <f t="shared" si="2"/>
        <v>18.285406336000001</v>
      </c>
      <c r="M184" s="23"/>
      <c r="N184" s="24"/>
    </row>
    <row r="185" spans="1:14" ht="14" x14ac:dyDescent="0.15">
      <c r="A185" s="26" t="s">
        <v>185</v>
      </c>
      <c r="B185" s="2">
        <f t="shared" si="0"/>
        <v>17.802653209500001</v>
      </c>
      <c r="C185" s="2">
        <f ca="1">IFERROR(__xludf.DUMMYFUNCTION("IFERROR(STDEV.S(FILTER(J203:M203, J203:M203&lt;&gt;"""")))"),1.78707550701118)</f>
        <v>1.7870755070111799</v>
      </c>
      <c r="D185" s="47">
        <v>0.1003825377</v>
      </c>
      <c r="E185" s="3"/>
      <c r="F185" s="3">
        <v>16539</v>
      </c>
      <c r="G185" s="16">
        <v>381</v>
      </c>
      <c r="I185" s="6">
        <v>50042799</v>
      </c>
      <c r="J185" s="7"/>
      <c r="K185" s="7">
        <f t="shared" si="1"/>
        <v>16.539000000000001</v>
      </c>
      <c r="L185" s="6">
        <f t="shared" si="2"/>
        <v>19.066306419</v>
      </c>
      <c r="M185" s="23"/>
      <c r="N185" s="24"/>
    </row>
    <row r="186" spans="1:14" ht="14" x14ac:dyDescent="0.15">
      <c r="A186" s="26" t="s">
        <v>186</v>
      </c>
      <c r="B186" s="2">
        <f t="shared" si="0"/>
        <v>2.1054563719999999</v>
      </c>
      <c r="C186" s="2">
        <f ca="1">IFERROR(__xludf.DUMMYFUNCTION("IFERROR(STDEV.S(FILTER(J204:M204, J204:M204&lt;&gt;"""")))"),0.0303438922817225)</f>
        <v>3.03438922817225E-2</v>
      </c>
      <c r="D186" s="47">
        <v>1.441202615E-2</v>
      </c>
      <c r="E186" s="3"/>
      <c r="F186" s="3">
        <v>2084</v>
      </c>
      <c r="G186" s="16">
        <v>3382</v>
      </c>
      <c r="I186" s="6">
        <v>628892</v>
      </c>
      <c r="J186" s="7"/>
      <c r="K186" s="7">
        <f t="shared" si="1"/>
        <v>2.0840000000000001</v>
      </c>
      <c r="L186" s="6">
        <f t="shared" si="2"/>
        <v>2.1269127440000002</v>
      </c>
      <c r="M186" s="23"/>
      <c r="N186" s="24"/>
    </row>
    <row r="187" spans="1:14" ht="14" x14ac:dyDescent="0.15">
      <c r="A187" s="26" t="s">
        <v>187</v>
      </c>
      <c r="B187" s="2">
        <f t="shared" si="0"/>
        <v>167.55680106700001</v>
      </c>
      <c r="C187" s="2">
        <f ca="1">IFERROR(__xludf.DUMMYFUNCTION("IFERROR(STDEV.S(FILTER(J205:M205, J205:M205&lt;&gt;"""")))"),3.63735012126299)</f>
        <v>3.63735012126299</v>
      </c>
      <c r="D187" s="47">
        <v>2.1708161640000001E-2</v>
      </c>
      <c r="E187" s="3"/>
      <c r="F187" s="3">
        <v>165822</v>
      </c>
      <c r="G187" s="16">
        <v>15676</v>
      </c>
      <c r="I187" s="6">
        <v>10551493</v>
      </c>
      <c r="J187" s="7"/>
      <c r="K187" s="7">
        <f t="shared" si="1"/>
        <v>165.822</v>
      </c>
      <c r="L187" s="6">
        <f t="shared" si="2"/>
        <v>165.40520426800001</v>
      </c>
      <c r="M187" s="23">
        <v>166</v>
      </c>
      <c r="N187" s="24">
        <v>173</v>
      </c>
    </row>
    <row r="188" spans="1:14" ht="14" x14ac:dyDescent="0.15">
      <c r="A188" s="26" t="s">
        <v>188</v>
      </c>
      <c r="B188" s="2">
        <f t="shared" si="0"/>
        <v>72.583437638000007</v>
      </c>
      <c r="C188" s="2">
        <f ca="1">IFERROR(__xludf.DUMMYFUNCTION("IFERROR(STDEV.S(FILTER(J206:M206, J206:M206&lt;&gt;"""")))"),1.54935915076589)</f>
        <v>1.5493591507658899</v>
      </c>
      <c r="D188" s="47">
        <v>2.134590481E-2</v>
      </c>
      <c r="E188" s="3"/>
      <c r="F188" s="3">
        <v>73679</v>
      </c>
      <c r="G188" s="16">
        <v>8059</v>
      </c>
      <c r="I188" s="6">
        <v>8870564</v>
      </c>
      <c r="J188" s="7"/>
      <c r="K188" s="7">
        <f t="shared" si="1"/>
        <v>73.679000000000002</v>
      </c>
      <c r="L188" s="6">
        <f t="shared" si="2"/>
        <v>71.487875276000011</v>
      </c>
      <c r="M188" s="23"/>
      <c r="N188" s="24"/>
    </row>
    <row r="189" spans="1:14" ht="14" x14ac:dyDescent="0.15">
      <c r="A189" s="26" t="s">
        <v>189</v>
      </c>
      <c r="B189" s="2">
        <f t="shared" si="0"/>
        <v>19.020050982000001</v>
      </c>
      <c r="C189" s="2">
        <f ca="1">IFERROR(__xludf.DUMMYFUNCTION("IFERROR(STDEV.S(FILTER(J207:M207, J207:M207&lt;&gt;"""")))"),1.47212421899455)</f>
        <v>1.47212421899455</v>
      </c>
      <c r="D189" s="47">
        <v>7.7398542220000005E-2</v>
      </c>
      <c r="E189" s="3"/>
      <c r="F189" s="3">
        <v>20061</v>
      </c>
      <c r="G189" s="16">
        <v>762</v>
      </c>
      <c r="I189" s="6">
        <v>23594622</v>
      </c>
      <c r="J189" s="7"/>
      <c r="K189" s="7">
        <f t="shared" si="1"/>
        <v>20.061</v>
      </c>
      <c r="L189" s="6">
        <f t="shared" si="2"/>
        <v>17.979101964000002</v>
      </c>
      <c r="M189" s="23"/>
      <c r="N189" s="24"/>
    </row>
    <row r="190" spans="1:14" ht="14" x14ac:dyDescent="0.15">
      <c r="A190" s="26" t="s">
        <v>190</v>
      </c>
      <c r="B190" s="2">
        <f t="shared" si="0"/>
        <v>281.44984269000003</v>
      </c>
      <c r="C190" s="2">
        <f ca="1">IFERROR(__xludf.DUMMYFUNCTION("IFERROR(STDEV.S(FILTER(J208:M208, J208:M208&lt;&gt;"""")))"),6.84184556806415)</f>
        <v>6.8418455680641497</v>
      </c>
      <c r="D190" s="47">
        <v>2.4309289009999999E-2</v>
      </c>
      <c r="G190" s="16">
        <v>11766</v>
      </c>
      <c r="I190" s="6">
        <v>23317145</v>
      </c>
      <c r="J190" s="7"/>
      <c r="K190" s="7" t="str">
        <f t="shared" si="1"/>
        <v/>
      </c>
      <c r="L190" s="6">
        <f t="shared" si="2"/>
        <v>274.34952807000002</v>
      </c>
      <c r="M190" s="23">
        <v>282</v>
      </c>
      <c r="N190" s="24">
        <v>288</v>
      </c>
    </row>
    <row r="191" spans="1:14" ht="14" x14ac:dyDescent="0.15">
      <c r="A191" s="26" t="s">
        <v>191</v>
      </c>
      <c r="B191" s="2">
        <f t="shared" si="0"/>
        <v>21.644408592000001</v>
      </c>
      <c r="C191" s="2">
        <f ca="1">IFERROR(__xludf.DUMMYFUNCTION("IFERROR(STDEV.S(FILTER(J209:M209, J209:M209&lt;&gt;"""")))"),0.216952511390963)</f>
        <v>0.216952511390963</v>
      </c>
      <c r="D191" s="47">
        <v>1.002348992E-2</v>
      </c>
      <c r="E191" s="3"/>
      <c r="F191" s="3">
        <v>21491</v>
      </c>
      <c r="G191" s="16">
        <v>2098</v>
      </c>
      <c r="I191" s="6">
        <v>10389808</v>
      </c>
      <c r="J191" s="7"/>
      <c r="K191" s="7">
        <f t="shared" si="1"/>
        <v>21.491</v>
      </c>
      <c r="L191" s="6">
        <f t="shared" si="2"/>
        <v>21.797817184000003</v>
      </c>
      <c r="M191" s="23"/>
      <c r="N191" s="24"/>
    </row>
    <row r="192" spans="1:14" ht="14" x14ac:dyDescent="0.15">
      <c r="A192" s="26" t="s">
        <v>192</v>
      </c>
      <c r="B192" s="2">
        <f t="shared" si="0"/>
        <v>9.4091148830000009</v>
      </c>
      <c r="C192" s="2">
        <f ca="1">IFERROR(__xludf.DUMMYFUNCTION("IFERROR(STDEV.S(FILTER(J210:M210, J210:M210&lt;&gt;"""")))"),0.305307660375903)</f>
        <v>0.30530766037590301</v>
      </c>
      <c r="D192" s="47">
        <v>3.2448074469999998E-2</v>
      </c>
      <c r="E192" s="3"/>
      <c r="F192" s="3">
        <v>9625</v>
      </c>
      <c r="G192" s="16">
        <v>138</v>
      </c>
      <c r="I192" s="6">
        <v>66617607</v>
      </c>
      <c r="J192" s="7"/>
      <c r="K192" s="7">
        <f t="shared" si="1"/>
        <v>9.625</v>
      </c>
      <c r="L192" s="6">
        <f t="shared" si="2"/>
        <v>9.193229766</v>
      </c>
      <c r="M192" s="23"/>
      <c r="N192" s="24"/>
    </row>
    <row r="193" spans="1:14" ht="14" x14ac:dyDescent="0.15">
      <c r="A193" s="26" t="s">
        <v>193</v>
      </c>
      <c r="B193" s="2">
        <f t="shared" si="0"/>
        <v>192.8006420035</v>
      </c>
      <c r="C193" s="2">
        <f ca="1">IFERROR(__xludf.DUMMYFUNCTION("IFERROR(STDEV.S(FILTER(J211:M211, J211:M211&lt;&gt;"""")))"),7.25418331120956)</f>
        <v>7.2541833112095597</v>
      </c>
      <c r="D193" s="47">
        <v>3.7625306820000003E-2</v>
      </c>
      <c r="E193" s="3"/>
      <c r="F193" s="3">
        <v>185976</v>
      </c>
      <c r="G193" s="16">
        <v>2653</v>
      </c>
      <c r="I193" s="6">
        <v>71702438</v>
      </c>
      <c r="J193" s="7"/>
      <c r="K193" s="7">
        <f t="shared" si="1"/>
        <v>185.976</v>
      </c>
      <c r="L193" s="6">
        <f t="shared" si="2"/>
        <v>190.22656801400001</v>
      </c>
      <c r="M193" s="23">
        <v>203</v>
      </c>
      <c r="N193" s="24">
        <v>192</v>
      </c>
    </row>
    <row r="194" spans="1:14" ht="14" x14ac:dyDescent="0.15">
      <c r="A194" s="26" t="s">
        <v>194</v>
      </c>
      <c r="B194" s="2">
        <f t="shared" si="0"/>
        <v>0.87056502800000013</v>
      </c>
      <c r="C194" s="2">
        <f ca="1">IFERROR(__xludf.DUMMYFUNCTION("IFERROR(STDEV.S(FILTER(J212:M212, J212:M212&lt;&gt;"""")))"),0.0715097483793752)</f>
        <v>7.1509748379375196E-2</v>
      </c>
      <c r="D194" s="47">
        <v>8.2141765500000005E-2</v>
      </c>
      <c r="E194" s="3"/>
      <c r="F194" s="3">
        <v>820</v>
      </c>
      <c r="G194" s="16">
        <v>99</v>
      </c>
      <c r="I194" s="6">
        <v>9304344</v>
      </c>
      <c r="J194" s="7"/>
      <c r="K194" s="7">
        <f t="shared" si="1"/>
        <v>0.82000000000000006</v>
      </c>
      <c r="L194" s="6">
        <f t="shared" si="2"/>
        <v>0.92113005600000009</v>
      </c>
      <c r="M194" s="23"/>
      <c r="N194" s="24"/>
    </row>
    <row r="195" spans="1:14" ht="14" x14ac:dyDescent="0.15">
      <c r="A195" s="26" t="s">
        <v>195</v>
      </c>
      <c r="B195" s="2">
        <f t="shared" si="0"/>
        <v>7.8355886E-2</v>
      </c>
      <c r="C195" s="2" t="str">
        <f ca="1">IFERROR(__xludf.DUMMYFUNCTION("IFERROR(STDEV.S(FILTER(J213:M213, J213:M213&lt;&gt;"""")))"),"")</f>
        <v/>
      </c>
      <c r="D195" s="47">
        <v>0</v>
      </c>
      <c r="E195" s="3"/>
      <c r="F195" s="3"/>
      <c r="G195" s="16">
        <v>749</v>
      </c>
      <c r="I195" s="6">
        <v>104614</v>
      </c>
      <c r="J195" s="7"/>
      <c r="K195" s="7" t="str">
        <f t="shared" si="1"/>
        <v/>
      </c>
      <c r="L195" s="6">
        <f t="shared" si="2"/>
        <v>7.8355886E-2</v>
      </c>
      <c r="M195" s="23"/>
      <c r="N195" s="24"/>
    </row>
    <row r="196" spans="1:14" ht="28" x14ac:dyDescent="0.15">
      <c r="A196" s="26" t="s">
        <v>196</v>
      </c>
      <c r="B196" s="2">
        <f t="shared" si="0"/>
        <v>9.3702826039999998</v>
      </c>
      <c r="C196" s="2">
        <f ca="1">IFERROR(__xludf.DUMMYFUNCTION("IFERROR(STDEV.S(FILTER(J214:M214, J214:M214&lt;&gt;"""")))"),0.173548605762308)</f>
        <v>0.17354860576230799</v>
      </c>
      <c r="D196" s="47">
        <v>1.8521170930000001E-2</v>
      </c>
      <c r="E196" s="3"/>
      <c r="F196" s="3">
        <v>9493</v>
      </c>
      <c r="G196" s="16">
        <v>6153</v>
      </c>
      <c r="I196" s="6">
        <v>1502936</v>
      </c>
      <c r="J196" s="7"/>
      <c r="K196" s="7">
        <f t="shared" si="1"/>
        <v>9.4930000000000003</v>
      </c>
      <c r="L196" s="6">
        <f t="shared" si="2"/>
        <v>9.247565208000001</v>
      </c>
      <c r="M196" s="23"/>
      <c r="N196" s="24"/>
    </row>
    <row r="197" spans="1:14" ht="14" x14ac:dyDescent="0.15">
      <c r="A197" s="26" t="s">
        <v>197</v>
      </c>
      <c r="B197" s="2">
        <f t="shared" si="0"/>
        <v>21.008166295999999</v>
      </c>
      <c r="C197" s="2">
        <f ca="1">IFERROR(__xludf.DUMMYFUNCTION("IFERROR(STDEV.S(FILTER(J215:M215, J215:M215&lt;&gt;"""")))"),0.585249236763891)</f>
        <v>0.58524923676389096</v>
      </c>
      <c r="D197" s="47">
        <v>2.785817803E-2</v>
      </c>
      <c r="E197" s="3"/>
      <c r="F197" s="3">
        <v>21422</v>
      </c>
      <c r="G197" s="16">
        <v>1688</v>
      </c>
      <c r="I197" s="6">
        <v>12200434</v>
      </c>
      <c r="J197" s="7"/>
      <c r="K197" s="7">
        <f t="shared" si="1"/>
        <v>21.422000000000001</v>
      </c>
      <c r="L197" s="6">
        <f t="shared" si="2"/>
        <v>20.594332592000001</v>
      </c>
      <c r="M197" s="23"/>
      <c r="N197" s="24"/>
    </row>
    <row r="198" spans="1:14" ht="14" x14ac:dyDescent="0.15">
      <c r="A198" s="26" t="s">
        <v>198</v>
      </c>
      <c r="B198" s="2">
        <f t="shared" si="0"/>
        <v>325.8677235445</v>
      </c>
      <c r="C198" s="2">
        <f ca="1">IFERROR(__xludf.DUMMYFUNCTION("IFERROR(STDEV.S(FILTER(J216:M216, J216:M216&lt;&gt;"""")))"),1.70388658004767)</f>
        <v>1.7038865800476699</v>
      </c>
      <c r="D198" s="47">
        <v>5.2287675549999996E-3</v>
      </c>
      <c r="E198" s="3"/>
      <c r="F198" s="3">
        <v>326301</v>
      </c>
      <c r="G198" s="16">
        <v>3726</v>
      </c>
      <c r="I198" s="6">
        <v>87270503</v>
      </c>
      <c r="J198" s="7"/>
      <c r="K198" s="7">
        <f t="shared" si="1"/>
        <v>326.30099999999999</v>
      </c>
      <c r="L198" s="6">
        <f t="shared" si="2"/>
        <v>325.16989417799999</v>
      </c>
      <c r="M198" s="23">
        <v>324</v>
      </c>
      <c r="N198" s="24">
        <v>328</v>
      </c>
    </row>
    <row r="199" spans="1:14" ht="14" x14ac:dyDescent="0.15">
      <c r="A199" s="26" t="s">
        <v>199</v>
      </c>
      <c r="B199" s="2">
        <f t="shared" si="0"/>
        <v>29.508117759500003</v>
      </c>
      <c r="C199" s="2">
        <f ca="1">IFERROR(__xludf.DUMMYFUNCTION("IFERROR(STDEV.S(FILTER(J217:M217, J217:M217&lt;&gt;"""")))"),4.37258179777561)</f>
        <v>4.3725817977756103</v>
      </c>
      <c r="D199" s="47">
        <v>0.14818233519999999</v>
      </c>
      <c r="E199" s="3"/>
      <c r="F199" s="3">
        <v>32600</v>
      </c>
      <c r="G199" s="16">
        <v>3587</v>
      </c>
      <c r="I199" s="6">
        <v>7364437</v>
      </c>
      <c r="J199" s="7"/>
      <c r="K199" s="7">
        <f t="shared" si="1"/>
        <v>32.6</v>
      </c>
      <c r="L199" s="6">
        <f t="shared" si="2"/>
        <v>26.416235519000001</v>
      </c>
      <c r="M199" s="23"/>
      <c r="N199" s="24"/>
    </row>
    <row r="200" spans="1:14" ht="28" x14ac:dyDescent="0.15">
      <c r="A200" s="26" t="s">
        <v>200</v>
      </c>
      <c r="B200" s="2">
        <f t="shared" si="0"/>
        <v>0.26280123399999999</v>
      </c>
      <c r="C200" s="2" t="str">
        <f ca="1">IFERROR(__xludf.DUMMYFUNCTION("IFERROR(STDEV.S(FILTER(J218:M218, J218:M218&lt;&gt;"""")))"),"")</f>
        <v/>
      </c>
      <c r="D200" s="47">
        <v>0</v>
      </c>
      <c r="E200" s="3"/>
      <c r="F200" s="3"/>
      <c r="G200" s="16">
        <v>5686</v>
      </c>
      <c r="I200" s="6">
        <v>46219</v>
      </c>
      <c r="J200" s="7"/>
      <c r="K200" s="7" t="str">
        <f t="shared" si="1"/>
        <v/>
      </c>
      <c r="L200" s="6">
        <f t="shared" si="2"/>
        <v>0.26280123399999999</v>
      </c>
      <c r="M200" s="23"/>
      <c r="N200" s="24"/>
    </row>
    <row r="201" spans="1:14" ht="14" x14ac:dyDescent="0.15">
      <c r="A201" s="26" t="s">
        <v>201</v>
      </c>
      <c r="B201" s="2">
        <f t="shared" si="0"/>
        <v>5.6609264279999998</v>
      </c>
      <c r="C201" s="2">
        <f ca="1">IFERROR(__xludf.DUMMYFUNCTION("IFERROR(STDEV.S(FILTER(J219:M219, J219:M219&lt;&gt;"""")))"),0.161324392630743)</f>
        <v>0.161324392630743</v>
      </c>
      <c r="D201" s="47">
        <v>2.8497878340000001E-2</v>
      </c>
      <c r="E201" s="3"/>
      <c r="F201" s="3">
        <v>5775</v>
      </c>
      <c r="G201" s="16">
        <v>114</v>
      </c>
      <c r="I201" s="6">
        <v>48656604</v>
      </c>
      <c r="J201" s="7"/>
      <c r="K201" s="7">
        <f t="shared" si="1"/>
        <v>5.7750000000000004</v>
      </c>
      <c r="L201" s="6">
        <f t="shared" si="2"/>
        <v>5.5468528560000001</v>
      </c>
      <c r="M201" s="23"/>
      <c r="N201" s="24"/>
    </row>
    <row r="202" spans="1:14" ht="14" x14ac:dyDescent="0.15">
      <c r="A202" s="26" t="s">
        <v>202</v>
      </c>
      <c r="B202" s="2">
        <f t="shared" si="0"/>
        <v>109.23946856000001</v>
      </c>
      <c r="C202" s="2">
        <f ca="1">IFERROR(__xludf.DUMMYFUNCTION("IFERROR(STDEV.S(FILTER(J220:M220, J220:M220&lt;&gt;"""")))"),5.87398049419104)</f>
        <v>5.8739804941910396</v>
      </c>
      <c r="D202" s="47">
        <v>5.3771595300000002E-2</v>
      </c>
      <c r="E202" s="3"/>
      <c r="F202" s="3">
        <v>113393</v>
      </c>
      <c r="G202" s="16">
        <v>2785</v>
      </c>
      <c r="I202" s="6">
        <v>37732832</v>
      </c>
      <c r="J202" s="7"/>
      <c r="K202" s="7">
        <f t="shared" si="1"/>
        <v>113.393</v>
      </c>
      <c r="L202" s="6">
        <f t="shared" si="2"/>
        <v>105.08593712000001</v>
      </c>
      <c r="M202" s="23"/>
      <c r="N202" s="24"/>
    </row>
    <row r="203" spans="1:14" ht="28" x14ac:dyDescent="0.15">
      <c r="A203" s="26" t="s">
        <v>203</v>
      </c>
      <c r="B203" s="2">
        <f t="shared" si="0"/>
        <v>165.74029529275001</v>
      </c>
      <c r="C203" s="2">
        <f ca="1">IFERROR(__xludf.DUMMYFUNCTION("IFERROR(STDEV.S(FILTER(J221:M221, J221:M221&lt;&gt;"""")))"),13.8971735562046)</f>
        <v>13.897173556204599</v>
      </c>
      <c r="D203" s="47">
        <v>8.3849093740000005E-2</v>
      </c>
      <c r="E203" s="3"/>
      <c r="F203" s="3">
        <v>155438</v>
      </c>
      <c r="G203" s="16">
        <v>17339</v>
      </c>
      <c r="I203" s="6">
        <v>10642089</v>
      </c>
      <c r="J203" s="7"/>
      <c r="K203" s="7">
        <f t="shared" si="1"/>
        <v>155.43800000000002</v>
      </c>
      <c r="L203" s="6">
        <f t="shared" si="2"/>
        <v>184.523181171</v>
      </c>
      <c r="M203" s="23">
        <v>168</v>
      </c>
      <c r="N203" s="24">
        <v>155</v>
      </c>
    </row>
    <row r="204" spans="1:14" ht="28" x14ac:dyDescent="0.15">
      <c r="A204" s="26" t="s">
        <v>204</v>
      </c>
      <c r="B204" s="2">
        <f t="shared" si="0"/>
        <v>296.80207183624998</v>
      </c>
      <c r="C204" s="2">
        <f ca="1">IFERROR(__xludf.DUMMYFUNCTION("IFERROR(STDEV.S(FILTER(J222:M222, J222:M222&lt;&gt;"""")))"),16.6137822142603)</f>
        <v>16.613782214260301</v>
      </c>
      <c r="D204" s="47">
        <v>5.5975964420000003E-2</v>
      </c>
      <c r="E204" s="3"/>
      <c r="F204" s="3">
        <v>285605</v>
      </c>
      <c r="G204" s="16">
        <v>4333</v>
      </c>
      <c r="I204" s="6">
        <v>68682965</v>
      </c>
      <c r="J204" s="7"/>
      <c r="K204" s="7">
        <f t="shared" si="1"/>
        <v>285.60500000000002</v>
      </c>
      <c r="L204" s="6">
        <f t="shared" si="2"/>
        <v>297.60328734500001</v>
      </c>
      <c r="M204" s="23">
        <v>284</v>
      </c>
      <c r="N204" s="24">
        <v>320</v>
      </c>
    </row>
    <row r="205" spans="1:14" ht="28" x14ac:dyDescent="0.15">
      <c r="A205" s="46" t="s">
        <v>275</v>
      </c>
      <c r="B205" s="2">
        <f t="shared" si="0"/>
        <v>4447.9623045010003</v>
      </c>
      <c r="C205" s="2">
        <f ca="1">IFERROR(__xludf.DUMMYFUNCTION("IFERROR(STDEV.S(FILTER(J223:M223, J223:M223&lt;&gt;"""")))"),112.430454287819)</f>
        <v>112.430454287819</v>
      </c>
      <c r="D205" s="47">
        <v>2.5276845119999999E-2</v>
      </c>
      <c r="E205" s="17"/>
      <c r="F205" s="17">
        <v>4439413</v>
      </c>
      <c r="G205" s="16">
        <v>12497</v>
      </c>
      <c r="I205" s="6">
        <v>343477332</v>
      </c>
      <c r="J205" s="7"/>
      <c r="K205" s="7">
        <f t="shared" si="1"/>
        <v>4439.4130000000005</v>
      </c>
      <c r="L205" s="6">
        <f t="shared" si="2"/>
        <v>4292.4362180040007</v>
      </c>
      <c r="M205" s="21">
        <v>4520</v>
      </c>
      <c r="N205" s="22">
        <v>4540</v>
      </c>
    </row>
    <row r="206" spans="1:14" ht="28" x14ac:dyDescent="0.15">
      <c r="A206" s="26" t="s">
        <v>205</v>
      </c>
      <c r="B206" s="2">
        <f t="shared" si="0"/>
        <v>0.58592723200000008</v>
      </c>
      <c r="C206" s="2" t="str">
        <f ca="1">IFERROR(__xludf.DUMMYFUNCTION("IFERROR(STDEV.S(FILTER(J224:M224, J224:M224&lt;&gt;"""")))"),"")</f>
        <v/>
      </c>
      <c r="D206" s="47">
        <v>0</v>
      </c>
      <c r="E206" s="3"/>
      <c r="F206" s="3"/>
      <c r="G206" s="16">
        <v>6836</v>
      </c>
      <c r="I206" s="6">
        <v>85712</v>
      </c>
      <c r="J206" s="7"/>
      <c r="K206" s="7" t="str">
        <f t="shared" si="1"/>
        <v/>
      </c>
      <c r="L206" s="6">
        <f t="shared" si="2"/>
        <v>0.58592723200000008</v>
      </c>
      <c r="M206" s="23"/>
      <c r="N206" s="24"/>
    </row>
    <row r="207" spans="1:14" ht="14" x14ac:dyDescent="0.15">
      <c r="A207" s="26" t="s">
        <v>206</v>
      </c>
      <c r="B207" s="2">
        <f t="shared" si="0"/>
        <v>13.938724024000001</v>
      </c>
      <c r="C207" s="2">
        <f ca="1">IFERROR(__xludf.DUMMYFUNCTION("IFERROR(STDEV.S(FILTER(J225:M225, J225:M225&lt;&gt;"""")))"),1.23641294251617)</f>
        <v>1.2364129425161701</v>
      </c>
      <c r="D207" s="47">
        <v>8.8703452370000005E-2</v>
      </c>
      <c r="E207" s="3"/>
      <c r="F207" s="3">
        <v>14813</v>
      </c>
      <c r="G207" s="16">
        <v>3856</v>
      </c>
      <c r="I207" s="6">
        <v>3388083</v>
      </c>
      <c r="J207" s="7"/>
      <c r="K207" s="7">
        <f t="shared" si="1"/>
        <v>14.813000000000001</v>
      </c>
      <c r="L207" s="6">
        <f t="shared" si="2"/>
        <v>13.064448048000001</v>
      </c>
      <c r="M207" s="23"/>
      <c r="N207" s="24"/>
    </row>
    <row r="208" spans="1:14" ht="14" x14ac:dyDescent="0.15">
      <c r="A208" s="26" t="s">
        <v>207</v>
      </c>
      <c r="B208" s="2">
        <f t="shared" si="0"/>
        <v>75.810583782750001</v>
      </c>
      <c r="C208" s="2">
        <f ca="1">IFERROR(__xludf.DUMMYFUNCTION("IFERROR(STDEV.S(FILTER(J226:M226, J226:M226&lt;&gt;"""")))"),1.98328248650308)</f>
        <v>1.98328248650308</v>
      </c>
      <c r="D208" s="47">
        <v>2.6161023799999999E-2</v>
      </c>
      <c r="E208" s="3"/>
      <c r="F208" s="3">
        <v>74269</v>
      </c>
      <c r="G208" s="16">
        <v>2159</v>
      </c>
      <c r="I208" s="6">
        <v>35652309</v>
      </c>
      <c r="J208" s="7"/>
      <c r="K208" s="7">
        <f t="shared" si="1"/>
        <v>74.269000000000005</v>
      </c>
      <c r="L208" s="6">
        <f t="shared" si="2"/>
        <v>76.973335130999999</v>
      </c>
      <c r="M208" s="23">
        <v>78</v>
      </c>
      <c r="N208" s="24">
        <v>74</v>
      </c>
    </row>
    <row r="209" spans="1:14" ht="14" x14ac:dyDescent="0.15">
      <c r="A209" s="26" t="s">
        <v>208</v>
      </c>
      <c r="B209" s="2">
        <f t="shared" si="0"/>
        <v>6.857030800000001E-2</v>
      </c>
      <c r="C209" s="2" t="str">
        <f ca="1">IFERROR(__xludf.DUMMYFUNCTION("IFERROR(STDEV.S(FILTER(J227:M227, J227:M227&lt;&gt;"""")))"),"")</f>
        <v/>
      </c>
      <c r="D209" s="47">
        <v>0</v>
      </c>
      <c r="E209" s="3"/>
      <c r="F209" s="3"/>
      <c r="G209" s="16">
        <v>214</v>
      </c>
      <c r="I209" s="6">
        <v>320422</v>
      </c>
      <c r="J209" s="7"/>
      <c r="K209" s="7" t="str">
        <f t="shared" si="1"/>
        <v/>
      </c>
      <c r="L209" s="6">
        <f t="shared" si="2"/>
        <v>6.857030800000001E-2</v>
      </c>
      <c r="M209" s="23"/>
      <c r="N209" s="24"/>
    </row>
    <row r="210" spans="1:14" ht="14" x14ac:dyDescent="0.15">
      <c r="A210" s="26" t="s">
        <v>209</v>
      </c>
      <c r="B210" s="2">
        <f t="shared" si="0"/>
        <v>83.53593613000001</v>
      </c>
      <c r="C210" s="2">
        <f ca="1">IFERROR(__xludf.DUMMYFUNCTION("IFERROR(STDEV.S(FILTER(J228:M228, J228:M228&lt;&gt;"""")))"),1.57251515553864)</f>
        <v>1.5725151555386401</v>
      </c>
      <c r="D210" s="47">
        <v>1.8824415319999999E-2</v>
      </c>
      <c r="E210" s="3"/>
      <c r="F210" s="3">
        <v>82424</v>
      </c>
      <c r="G210" s="16">
        <v>2991</v>
      </c>
      <c r="I210" s="6">
        <v>28300860</v>
      </c>
      <c r="J210" s="7"/>
      <c r="K210" s="7">
        <f t="shared" si="1"/>
        <v>82.424000000000007</v>
      </c>
      <c r="L210" s="6">
        <f t="shared" si="2"/>
        <v>84.64787226</v>
      </c>
      <c r="M210" s="23"/>
      <c r="N210" s="24"/>
    </row>
    <row r="211" spans="1:14" ht="14" x14ac:dyDescent="0.15">
      <c r="A211" s="26" t="s">
        <v>210</v>
      </c>
      <c r="B211" s="2">
        <f t="shared" si="0"/>
        <v>275.790671008</v>
      </c>
      <c r="C211" s="2">
        <f ca="1">IFERROR(__xludf.DUMMYFUNCTION("IFERROR(STDEV.S(FILTER(J229:M229, J229:M229&lt;&gt;"""")))"),5.0365908472589)</f>
        <v>5.0365908472588998</v>
      </c>
      <c r="D211" s="47">
        <v>1.8262368439999999E-2</v>
      </c>
      <c r="E211" s="3"/>
      <c r="F211" s="3">
        <v>276416</v>
      </c>
      <c r="G211" s="16">
        <v>2688</v>
      </c>
      <c r="I211" s="6">
        <v>100352189</v>
      </c>
      <c r="J211" s="7"/>
      <c r="K211" s="7">
        <f t="shared" si="1"/>
        <v>276.416</v>
      </c>
      <c r="L211" s="6">
        <f t="shared" si="2"/>
        <v>269.74668403200002</v>
      </c>
      <c r="M211" s="23">
        <v>282</v>
      </c>
      <c r="N211" s="24">
        <v>275</v>
      </c>
    </row>
    <row r="212" spans="1:14" ht="14" x14ac:dyDescent="0.15">
      <c r="A212" s="1" t="s">
        <v>211</v>
      </c>
      <c r="B212" s="2">
        <f t="shared" si="0"/>
        <v>3.0051952000000002</v>
      </c>
      <c r="C212" s="2">
        <f ca="1">IFERROR(__xludf.DUMMYFUNCTION("IFERROR(STDEV.S(FILTER(J230:M230, J230:M230&lt;&gt;"""")))"),0.652228506741372)</f>
        <v>0.652228506741372</v>
      </c>
      <c r="D212" s="47">
        <v>0.2170336578</v>
      </c>
      <c r="E212" s="3"/>
      <c r="F212" s="3">
        <v>2544</v>
      </c>
      <c r="G212" s="16">
        <v>88</v>
      </c>
      <c r="I212" s="6">
        <v>39390800</v>
      </c>
      <c r="J212" s="7"/>
      <c r="K212" s="7">
        <f t="shared" si="1"/>
        <v>2.544</v>
      </c>
      <c r="L212" s="6">
        <f t="shared" si="2"/>
        <v>3.4663904000000003</v>
      </c>
      <c r="M212" s="21"/>
      <c r="N212" s="28"/>
    </row>
    <row r="213" spans="1:14" ht="14" x14ac:dyDescent="0.15">
      <c r="A213" s="1" t="s">
        <v>212</v>
      </c>
      <c r="B213" s="2">
        <f t="shared" si="0"/>
        <v>19.819710432000001</v>
      </c>
      <c r="C213" s="2">
        <f ca="1">IFERROR(__xludf.DUMMYFUNCTION("IFERROR(STDEV.S(FILTER(J231:M231, J231:M231&lt;&gt;"""")))"),0.487494168025887)</f>
        <v>0.48749416802588702</v>
      </c>
      <c r="D213" s="47">
        <v>2.4596432410000001E-2</v>
      </c>
      <c r="E213" s="3"/>
      <c r="F213" s="3">
        <v>19475</v>
      </c>
      <c r="G213" s="16">
        <v>973</v>
      </c>
      <c r="I213" s="6">
        <v>20723968</v>
      </c>
      <c r="J213" s="7"/>
      <c r="K213" s="7">
        <f t="shared" si="1"/>
        <v>19.475000000000001</v>
      </c>
      <c r="L213" s="6">
        <f t="shared" si="2"/>
        <v>20.164420864</v>
      </c>
      <c r="M213" s="21"/>
      <c r="N213" s="28"/>
    </row>
    <row r="214" spans="1:14" ht="14" x14ac:dyDescent="0.15">
      <c r="A214" s="1" t="s">
        <v>213</v>
      </c>
      <c r="B214" s="2">
        <f t="shared" si="0"/>
        <v>8.8222167314999993</v>
      </c>
      <c r="C214" s="2">
        <f ca="1">IFERROR(__xludf.DUMMYFUNCTION("IFERROR(STDEV.S(FILTER(J232:M232, J232:M232&lt;&gt;"""")))"),0.164355277861974)</f>
        <v>0.16435527786197399</v>
      </c>
      <c r="D214" s="47">
        <v>1.8629703040000001E-2</v>
      </c>
      <c r="E214" s="3"/>
      <c r="F214" s="3">
        <v>8706</v>
      </c>
      <c r="G214" s="16">
        <v>547</v>
      </c>
      <c r="I214" s="6">
        <v>16340829</v>
      </c>
      <c r="J214" s="7"/>
      <c r="K214" s="7">
        <f t="shared" si="1"/>
        <v>8.7059999999999995</v>
      </c>
      <c r="L214" s="6">
        <f t="shared" si="2"/>
        <v>8.9384334630000009</v>
      </c>
      <c r="M214" s="21"/>
      <c r="N214" s="28"/>
    </row>
    <row r="215" spans="1:14" ht="13" x14ac:dyDescent="0.15">
      <c r="A215" s="29"/>
      <c r="B215" s="2"/>
      <c r="C215" s="2"/>
      <c r="D215" s="2"/>
      <c r="E215" s="10"/>
      <c r="F215" s="10"/>
      <c r="G215" s="7"/>
      <c r="J215" s="7"/>
      <c r="K215" s="7"/>
      <c r="M215" s="3"/>
      <c r="N215" s="3"/>
    </row>
    <row r="216" spans="1:14" ht="13" x14ac:dyDescent="0.15">
      <c r="A216" s="29"/>
      <c r="B216" s="2"/>
      <c r="C216" s="2"/>
      <c r="D216" s="2"/>
      <c r="E216" s="3"/>
      <c r="F216" s="3"/>
      <c r="G216" s="7"/>
      <c r="J216" s="7"/>
      <c r="K216" s="7"/>
      <c r="M216" s="3"/>
      <c r="N216" s="3"/>
    </row>
    <row r="217" spans="1:14" ht="13" x14ac:dyDescent="0.15">
      <c r="A217" s="29"/>
      <c r="B217" s="2"/>
      <c r="C217" s="2"/>
      <c r="D217" s="2"/>
      <c r="E217" s="3"/>
      <c r="F217" s="3"/>
      <c r="G217" s="7"/>
      <c r="J217" s="7"/>
      <c r="K217" s="7"/>
      <c r="M217" s="3"/>
      <c r="N217" s="3"/>
    </row>
    <row r="218" spans="1:14" ht="13" x14ac:dyDescent="0.15">
      <c r="A218" s="29"/>
      <c r="B218" s="2"/>
      <c r="C218" s="2"/>
      <c r="D218" s="2"/>
      <c r="E218" s="3"/>
      <c r="F218" s="3"/>
      <c r="G218" s="7"/>
      <c r="J218" s="7"/>
      <c r="K218" s="7"/>
      <c r="M218" s="3"/>
      <c r="N218" s="3"/>
    </row>
    <row r="219" spans="1:14" ht="13" x14ac:dyDescent="0.15">
      <c r="A219" s="29"/>
      <c r="B219" s="2"/>
      <c r="C219" s="2"/>
      <c r="D219" s="2"/>
      <c r="E219" s="3"/>
      <c r="F219" s="3"/>
      <c r="G219" s="7"/>
      <c r="J219" s="7"/>
      <c r="K219" s="7"/>
      <c r="M219" s="3"/>
      <c r="N219" s="3"/>
    </row>
    <row r="220" spans="1:14" ht="13" x14ac:dyDescent="0.15">
      <c r="A220" s="29"/>
      <c r="B220" s="2"/>
      <c r="C220" s="2"/>
      <c r="D220" s="2"/>
      <c r="E220" s="3"/>
      <c r="F220" s="3"/>
      <c r="G220" s="7"/>
      <c r="J220" s="7"/>
      <c r="K220" s="7"/>
      <c r="M220" s="3"/>
      <c r="N220" s="3"/>
    </row>
    <row r="221" spans="1:14" ht="13" x14ac:dyDescent="0.15">
      <c r="A221" s="29"/>
      <c r="B221" s="2"/>
      <c r="C221" s="2"/>
      <c r="D221" s="2"/>
      <c r="E221" s="3"/>
      <c r="F221" s="3"/>
      <c r="G221" s="7"/>
      <c r="J221" s="7"/>
      <c r="K221" s="7"/>
      <c r="M221" s="3"/>
      <c r="N221" s="3"/>
    </row>
    <row r="222" spans="1:14" ht="13" x14ac:dyDescent="0.15">
      <c r="A222" s="29"/>
      <c r="B222" s="2"/>
      <c r="C222" s="2"/>
      <c r="D222" s="2"/>
      <c r="E222" s="3"/>
      <c r="F222" s="3"/>
      <c r="G222" s="7"/>
      <c r="J222" s="7"/>
      <c r="K222" s="7"/>
      <c r="M222" s="3"/>
      <c r="N222" s="3"/>
    </row>
    <row r="223" spans="1:14" ht="13" x14ac:dyDescent="0.15">
      <c r="A223" s="29"/>
      <c r="B223" s="2"/>
      <c r="C223" s="2"/>
      <c r="D223" s="2"/>
      <c r="E223" s="3"/>
      <c r="F223" s="3"/>
      <c r="G223" s="7"/>
      <c r="J223" s="7"/>
      <c r="K223" s="7"/>
      <c r="M223" s="3"/>
      <c r="N223" s="3"/>
    </row>
    <row r="224" spans="1:14" ht="13" x14ac:dyDescent="0.15">
      <c r="A224" s="29"/>
      <c r="B224" s="2"/>
      <c r="C224" s="2"/>
      <c r="D224" s="2"/>
      <c r="E224" s="3"/>
      <c r="F224" s="3"/>
      <c r="G224" s="7"/>
      <c r="J224" s="7"/>
      <c r="K224" s="7"/>
      <c r="M224" s="3"/>
      <c r="N224" s="3"/>
    </row>
    <row r="225" spans="1:14" ht="13" x14ac:dyDescent="0.15">
      <c r="A225" s="29"/>
      <c r="B225" s="2"/>
      <c r="C225" s="2"/>
      <c r="D225" s="2"/>
      <c r="E225" s="3"/>
      <c r="F225" s="3"/>
      <c r="G225" s="7"/>
      <c r="J225" s="7"/>
      <c r="K225" s="7"/>
      <c r="M225" s="3"/>
      <c r="N225" s="3"/>
    </row>
    <row r="226" spans="1:14" ht="13" x14ac:dyDescent="0.15">
      <c r="A226" s="29"/>
      <c r="B226" s="2"/>
      <c r="C226" s="2"/>
      <c r="D226" s="2"/>
      <c r="E226" s="3"/>
      <c r="F226" s="3"/>
      <c r="G226" s="7"/>
      <c r="J226" s="7"/>
      <c r="K226" s="7"/>
      <c r="M226" s="3"/>
      <c r="N226" s="3"/>
    </row>
    <row r="227" spans="1:14" ht="13" x14ac:dyDescent="0.15">
      <c r="A227" s="29"/>
      <c r="B227" s="2"/>
      <c r="C227" s="2"/>
      <c r="D227" s="2"/>
      <c r="E227" s="3"/>
      <c r="F227" s="3"/>
      <c r="G227" s="7"/>
      <c r="J227" s="7"/>
      <c r="K227" s="7"/>
      <c r="M227" s="3"/>
      <c r="N227" s="3"/>
    </row>
    <row r="228" spans="1:14" ht="13" x14ac:dyDescent="0.15">
      <c r="A228" s="29"/>
      <c r="B228" s="2"/>
      <c r="C228" s="2"/>
      <c r="D228" s="2"/>
      <c r="E228" s="3"/>
      <c r="F228" s="3"/>
      <c r="G228" s="7"/>
      <c r="J228" s="7"/>
      <c r="K228" s="7"/>
      <c r="M228" s="3"/>
      <c r="N228" s="3"/>
    </row>
    <row r="229" spans="1:14" ht="13" x14ac:dyDescent="0.15">
      <c r="A229" s="29"/>
      <c r="B229" s="2"/>
      <c r="C229" s="2"/>
      <c r="D229" s="2"/>
      <c r="E229" s="3"/>
      <c r="F229" s="3"/>
      <c r="G229" s="7"/>
      <c r="J229" s="7"/>
      <c r="K229" s="7"/>
      <c r="M229" s="3"/>
      <c r="N229" s="3"/>
    </row>
    <row r="230" spans="1:14" ht="13" x14ac:dyDescent="0.15">
      <c r="A230" s="29"/>
      <c r="B230" s="2"/>
      <c r="C230" s="2"/>
      <c r="D230" s="2"/>
      <c r="E230" s="3"/>
      <c r="F230" s="3"/>
      <c r="G230" s="7"/>
      <c r="J230" s="7"/>
      <c r="K230" s="7"/>
      <c r="M230" s="3"/>
      <c r="N230" s="3"/>
    </row>
    <row r="231" spans="1:14" ht="13" x14ac:dyDescent="0.15">
      <c r="A231" s="29"/>
      <c r="B231" s="2"/>
      <c r="C231" s="2"/>
      <c r="D231" s="2"/>
      <c r="E231" s="3"/>
      <c r="F231" s="3"/>
      <c r="G231" s="7"/>
      <c r="J231" s="7"/>
      <c r="K231" s="7"/>
      <c r="M231" s="3"/>
      <c r="N231" s="3"/>
    </row>
    <row r="232" spans="1:14" ht="13" x14ac:dyDescent="0.15">
      <c r="A232" s="29"/>
      <c r="B232" s="2"/>
      <c r="C232" s="2"/>
      <c r="D232" s="2"/>
      <c r="E232" s="3"/>
      <c r="F232" s="3"/>
      <c r="G232" s="7"/>
      <c r="J232" s="7"/>
      <c r="K232" s="7"/>
      <c r="M232" s="3"/>
      <c r="N232" s="3"/>
    </row>
    <row r="233" spans="1:14" ht="13" x14ac:dyDescent="0.15">
      <c r="A233" s="29"/>
      <c r="B233" s="2"/>
      <c r="C233" s="2"/>
      <c r="D233" s="2"/>
      <c r="E233" s="3"/>
      <c r="F233" s="3"/>
      <c r="G233" s="7"/>
      <c r="J233" s="7"/>
      <c r="K233" s="7"/>
      <c r="M233" s="3"/>
      <c r="N233" s="3"/>
    </row>
    <row r="234" spans="1:14" ht="13" x14ac:dyDescent="0.15">
      <c r="A234" s="29"/>
      <c r="B234" s="2"/>
      <c r="C234" s="2"/>
      <c r="D234" s="2"/>
      <c r="E234" s="3"/>
      <c r="F234" s="3"/>
      <c r="G234" s="7"/>
      <c r="J234" s="7"/>
      <c r="K234" s="7"/>
      <c r="M234" s="3"/>
      <c r="N234" s="3"/>
    </row>
    <row r="235" spans="1:14" ht="13" x14ac:dyDescent="0.15">
      <c r="A235" s="29"/>
      <c r="B235" s="2"/>
      <c r="C235" s="2"/>
      <c r="D235" s="2"/>
      <c r="E235" s="3"/>
      <c r="F235" s="3"/>
      <c r="G235" s="7"/>
      <c r="J235" s="7"/>
      <c r="K235" s="7"/>
      <c r="M235" s="3"/>
      <c r="N235" s="3"/>
    </row>
    <row r="236" spans="1:14" ht="13" x14ac:dyDescent="0.15">
      <c r="A236" s="29"/>
      <c r="B236" s="2"/>
      <c r="C236" s="2"/>
      <c r="D236" s="2"/>
      <c r="E236" s="3"/>
      <c r="F236" s="3"/>
      <c r="G236" s="7"/>
      <c r="J236" s="7"/>
      <c r="K236" s="7"/>
      <c r="M236" s="3"/>
      <c r="N236" s="3"/>
    </row>
    <row r="237" spans="1:14" ht="13" x14ac:dyDescent="0.15">
      <c r="A237" s="29"/>
      <c r="B237" s="2"/>
      <c r="C237" s="2"/>
      <c r="D237" s="2"/>
      <c r="E237" s="3"/>
      <c r="F237" s="3"/>
      <c r="G237" s="7"/>
      <c r="J237" s="7"/>
      <c r="K237" s="7"/>
      <c r="M237" s="3"/>
      <c r="N237" s="3"/>
    </row>
    <row r="238" spans="1:14" ht="13" x14ac:dyDescent="0.15">
      <c r="A238" s="29"/>
      <c r="B238" s="2"/>
      <c r="C238" s="2"/>
      <c r="D238" s="2"/>
      <c r="E238" s="3"/>
      <c r="F238" s="3"/>
      <c r="G238" s="7"/>
      <c r="J238" s="7"/>
      <c r="K238" s="7"/>
      <c r="M238" s="3"/>
      <c r="N238" s="3"/>
    </row>
    <row r="239" spans="1:14" ht="13" x14ac:dyDescent="0.15">
      <c r="A239" s="29"/>
      <c r="B239" s="2"/>
      <c r="C239" s="2"/>
      <c r="D239" s="2"/>
      <c r="E239" s="3"/>
      <c r="F239" s="3"/>
      <c r="G239" s="7"/>
      <c r="J239" s="7"/>
      <c r="K239" s="7"/>
      <c r="M239" s="3"/>
      <c r="N239" s="3"/>
    </row>
    <row r="240" spans="1:14" ht="13" x14ac:dyDescent="0.15">
      <c r="A240" s="29"/>
      <c r="B240" s="2"/>
      <c r="C240" s="2"/>
      <c r="D240" s="2"/>
      <c r="E240" s="3"/>
      <c r="F240" s="3"/>
      <c r="G240" s="7"/>
      <c r="J240" s="7"/>
      <c r="K240" s="7"/>
      <c r="M240" s="3"/>
      <c r="N240" s="3"/>
    </row>
    <row r="241" spans="1:14" ht="13" x14ac:dyDescent="0.15">
      <c r="A241" s="29"/>
      <c r="B241" s="2"/>
      <c r="C241" s="2"/>
      <c r="D241" s="2"/>
      <c r="E241" s="3"/>
      <c r="F241" s="3"/>
      <c r="G241" s="7"/>
      <c r="J241" s="7"/>
      <c r="K241" s="7"/>
      <c r="M241" s="3"/>
      <c r="N241" s="3"/>
    </row>
    <row r="242" spans="1:14" ht="13" x14ac:dyDescent="0.15">
      <c r="A242" s="29"/>
      <c r="B242" s="2"/>
      <c r="C242" s="2"/>
      <c r="D242" s="2"/>
      <c r="E242" s="3"/>
      <c r="F242" s="3"/>
      <c r="G242" s="7"/>
      <c r="J242" s="7"/>
      <c r="K242" s="7"/>
      <c r="M242" s="3"/>
      <c r="N242" s="3"/>
    </row>
    <row r="243" spans="1:14" ht="13" x14ac:dyDescent="0.15">
      <c r="A243" s="29"/>
      <c r="B243" s="2"/>
      <c r="C243" s="2"/>
      <c r="D243" s="2"/>
      <c r="E243" s="3"/>
      <c r="F243" s="3"/>
      <c r="G243" s="7"/>
      <c r="J243" s="7"/>
      <c r="K243" s="7"/>
      <c r="M243" s="3"/>
      <c r="N243" s="3"/>
    </row>
    <row r="244" spans="1:14" ht="13" x14ac:dyDescent="0.15">
      <c r="A244" s="29"/>
      <c r="B244" s="2"/>
      <c r="C244" s="2"/>
      <c r="D244" s="2"/>
      <c r="E244" s="3"/>
      <c r="F244" s="3"/>
      <c r="G244" s="7"/>
      <c r="J244" s="7"/>
      <c r="K244" s="7"/>
      <c r="M244" s="3"/>
      <c r="N244" s="3"/>
    </row>
    <row r="245" spans="1:14" ht="13" x14ac:dyDescent="0.15">
      <c r="A245" s="29"/>
      <c r="B245" s="2"/>
      <c r="C245" s="2"/>
      <c r="D245" s="2"/>
      <c r="E245" s="3"/>
      <c r="F245" s="3"/>
      <c r="G245" s="7"/>
      <c r="J245" s="7"/>
      <c r="K245" s="7"/>
      <c r="M245" s="3"/>
      <c r="N245" s="3"/>
    </row>
    <row r="246" spans="1:14" ht="13" x14ac:dyDescent="0.15">
      <c r="A246" s="29"/>
      <c r="B246" s="2"/>
      <c r="C246" s="2"/>
      <c r="D246" s="2"/>
      <c r="E246" s="3"/>
      <c r="F246" s="3"/>
      <c r="G246" s="7"/>
      <c r="J246" s="7"/>
      <c r="K246" s="7"/>
      <c r="M246" s="3"/>
      <c r="N246" s="3"/>
    </row>
    <row r="247" spans="1:14" ht="13" x14ac:dyDescent="0.15">
      <c r="A247" s="29"/>
      <c r="B247" s="2"/>
      <c r="C247" s="2"/>
      <c r="D247" s="2"/>
      <c r="E247" s="3"/>
      <c r="F247" s="3"/>
      <c r="G247" s="7"/>
      <c r="J247" s="7"/>
      <c r="K247" s="7"/>
      <c r="M247" s="3"/>
      <c r="N247" s="3"/>
    </row>
    <row r="248" spans="1:14" ht="13" x14ac:dyDescent="0.15">
      <c r="A248" s="29"/>
      <c r="B248" s="2"/>
      <c r="C248" s="2"/>
      <c r="D248" s="2"/>
      <c r="E248" s="3"/>
      <c r="F248" s="3"/>
      <c r="G248" s="7"/>
      <c r="J248" s="7"/>
      <c r="K248" s="7"/>
      <c r="M248" s="3"/>
      <c r="N248" s="3"/>
    </row>
    <row r="249" spans="1:14" ht="13" x14ac:dyDescent="0.15">
      <c r="A249" s="29"/>
      <c r="B249" s="2"/>
      <c r="C249" s="2"/>
      <c r="D249" s="2"/>
      <c r="E249" s="3"/>
      <c r="F249" s="3"/>
      <c r="G249" s="7"/>
      <c r="J249" s="7"/>
      <c r="K249" s="7"/>
      <c r="M249" s="3"/>
      <c r="N249" s="3"/>
    </row>
    <row r="250" spans="1:14" ht="13" x14ac:dyDescent="0.15">
      <c r="A250" s="29"/>
      <c r="B250" s="2"/>
      <c r="C250" s="2"/>
      <c r="D250" s="2"/>
      <c r="E250" s="3"/>
      <c r="F250" s="3"/>
      <c r="G250" s="7"/>
      <c r="J250" s="7"/>
      <c r="K250" s="7"/>
      <c r="M250" s="3"/>
      <c r="N250" s="3"/>
    </row>
    <row r="251" spans="1:14" ht="13" x14ac:dyDescent="0.15">
      <c r="A251" s="29"/>
      <c r="B251" s="2"/>
      <c r="C251" s="2"/>
      <c r="D251" s="2"/>
      <c r="E251" s="3"/>
      <c r="F251" s="3"/>
      <c r="G251" s="7"/>
      <c r="J251" s="7"/>
      <c r="K251" s="7"/>
      <c r="M251" s="3"/>
      <c r="N251" s="3"/>
    </row>
    <row r="252" spans="1:14" ht="13" x14ac:dyDescent="0.15">
      <c r="A252" s="29"/>
      <c r="B252" s="2"/>
      <c r="C252" s="2"/>
      <c r="D252" s="2"/>
      <c r="E252" s="3"/>
      <c r="F252" s="3"/>
      <c r="G252" s="7"/>
      <c r="J252" s="7"/>
      <c r="K252" s="7"/>
      <c r="M252" s="3"/>
      <c r="N252" s="3"/>
    </row>
    <row r="253" spans="1:14" ht="13" x14ac:dyDescent="0.15">
      <c r="A253" s="29"/>
      <c r="B253" s="2"/>
      <c r="C253" s="2"/>
      <c r="D253" s="2"/>
      <c r="E253" s="3"/>
      <c r="F253" s="3"/>
      <c r="G253" s="7"/>
      <c r="J253" s="7"/>
      <c r="K253" s="7"/>
      <c r="M253" s="3"/>
      <c r="N253" s="3"/>
    </row>
    <row r="254" spans="1:14" ht="13" x14ac:dyDescent="0.15">
      <c r="A254" s="29"/>
      <c r="B254" s="2"/>
      <c r="C254" s="2"/>
      <c r="D254" s="2"/>
      <c r="E254" s="3"/>
      <c r="F254" s="3"/>
      <c r="G254" s="7"/>
      <c r="J254" s="7"/>
      <c r="K254" s="7"/>
      <c r="M254" s="3"/>
      <c r="N254" s="3"/>
    </row>
    <row r="255" spans="1:14" ht="13" x14ac:dyDescent="0.15">
      <c r="A255" s="29"/>
      <c r="B255" s="2"/>
      <c r="C255" s="2"/>
      <c r="D255" s="2"/>
      <c r="E255" s="3"/>
      <c r="F255" s="3"/>
      <c r="G255" s="7"/>
      <c r="J255" s="7"/>
      <c r="K255" s="7"/>
      <c r="M255" s="3"/>
      <c r="N255" s="3"/>
    </row>
    <row r="256" spans="1:14" ht="13" x14ac:dyDescent="0.15">
      <c r="A256" s="29"/>
      <c r="B256" s="2"/>
      <c r="C256" s="2"/>
      <c r="D256" s="2"/>
      <c r="E256" s="3"/>
      <c r="F256" s="3"/>
      <c r="G256" s="7"/>
      <c r="J256" s="7"/>
      <c r="K256" s="7"/>
      <c r="M256" s="3"/>
      <c r="N256" s="3"/>
    </row>
    <row r="257" spans="1:14" ht="13" x14ac:dyDescent="0.15">
      <c r="A257" s="29"/>
      <c r="B257" s="2"/>
      <c r="C257" s="2"/>
      <c r="D257" s="2"/>
      <c r="E257" s="3"/>
      <c r="F257" s="3"/>
      <c r="G257" s="7"/>
      <c r="J257" s="7"/>
      <c r="K257" s="7"/>
      <c r="M257" s="3"/>
      <c r="N257" s="3"/>
    </row>
    <row r="258" spans="1:14" ht="13" x14ac:dyDescent="0.15">
      <c r="A258" s="29"/>
      <c r="B258" s="2"/>
      <c r="C258" s="2"/>
      <c r="D258" s="2"/>
      <c r="E258" s="3"/>
      <c r="F258" s="3"/>
      <c r="G258" s="7"/>
      <c r="J258" s="7"/>
      <c r="K258" s="7"/>
      <c r="M258" s="3"/>
      <c r="N258" s="3"/>
    </row>
    <row r="259" spans="1:14" ht="13" x14ac:dyDescent="0.15">
      <c r="A259" s="29"/>
      <c r="B259" s="2"/>
      <c r="C259" s="2"/>
      <c r="D259" s="2"/>
      <c r="E259" s="3"/>
      <c r="F259" s="3"/>
      <c r="G259" s="7"/>
      <c r="J259" s="7"/>
      <c r="K259" s="7"/>
      <c r="M259" s="3"/>
      <c r="N259" s="3"/>
    </row>
    <row r="260" spans="1:14" ht="13" x14ac:dyDescent="0.15">
      <c r="A260" s="29"/>
      <c r="B260" s="2"/>
      <c r="C260" s="2"/>
      <c r="D260" s="2"/>
      <c r="E260" s="3"/>
      <c r="F260" s="3"/>
      <c r="G260" s="7"/>
      <c r="J260" s="7"/>
      <c r="K260" s="7"/>
      <c r="M260" s="3"/>
      <c r="N260" s="3"/>
    </row>
    <row r="261" spans="1:14" ht="13" x14ac:dyDescent="0.15">
      <c r="A261" s="29"/>
      <c r="B261" s="2"/>
      <c r="C261" s="2"/>
      <c r="D261" s="2"/>
      <c r="E261" s="3"/>
      <c r="F261" s="3"/>
      <c r="G261" s="7"/>
      <c r="J261" s="7"/>
      <c r="K261" s="7"/>
      <c r="M261" s="3"/>
      <c r="N261" s="3"/>
    </row>
    <row r="262" spans="1:14" ht="13" x14ac:dyDescent="0.15">
      <c r="A262" s="29"/>
      <c r="B262" s="2"/>
      <c r="C262" s="2"/>
      <c r="D262" s="2"/>
      <c r="E262" s="3"/>
      <c r="F262" s="3"/>
      <c r="G262" s="7"/>
      <c r="J262" s="7"/>
      <c r="K262" s="7"/>
      <c r="M262" s="3"/>
      <c r="N262" s="3"/>
    </row>
    <row r="263" spans="1:14" ht="13" x14ac:dyDescent="0.15">
      <c r="A263" s="29"/>
      <c r="B263" s="2"/>
      <c r="C263" s="2"/>
      <c r="D263" s="2"/>
      <c r="E263" s="3"/>
      <c r="F263" s="3"/>
      <c r="G263" s="7"/>
      <c r="J263" s="7"/>
      <c r="K263" s="7"/>
      <c r="M263" s="3"/>
      <c r="N263" s="3"/>
    </row>
    <row r="264" spans="1:14" ht="13" x14ac:dyDescent="0.15">
      <c r="A264" s="29"/>
      <c r="B264" s="2"/>
      <c r="C264" s="2"/>
      <c r="D264" s="2"/>
      <c r="E264" s="3"/>
      <c r="F264" s="3"/>
      <c r="G264" s="7"/>
      <c r="J264" s="7"/>
      <c r="K264" s="7"/>
      <c r="M264" s="3"/>
      <c r="N264" s="3"/>
    </row>
    <row r="265" spans="1:14" ht="13" x14ac:dyDescent="0.15">
      <c r="A265" s="29"/>
      <c r="B265" s="2"/>
      <c r="C265" s="2"/>
      <c r="D265" s="2"/>
      <c r="E265" s="3"/>
      <c r="F265" s="3"/>
      <c r="G265" s="7"/>
      <c r="J265" s="7"/>
      <c r="K265" s="7"/>
      <c r="M265" s="3"/>
      <c r="N265" s="3"/>
    </row>
    <row r="266" spans="1:14" ht="13" x14ac:dyDescent="0.15">
      <c r="A266" s="29"/>
      <c r="B266" s="2"/>
      <c r="C266" s="2"/>
      <c r="D266" s="2"/>
      <c r="E266" s="3"/>
      <c r="F266" s="3"/>
      <c r="G266" s="7"/>
      <c r="J266" s="7"/>
      <c r="K266" s="7"/>
      <c r="M266" s="3"/>
      <c r="N266" s="3"/>
    </row>
    <row r="267" spans="1:14" ht="13" x14ac:dyDescent="0.15">
      <c r="A267" s="29"/>
      <c r="B267" s="2"/>
      <c r="C267" s="2"/>
      <c r="D267" s="2"/>
      <c r="E267" s="3"/>
      <c r="F267" s="3"/>
      <c r="G267" s="7"/>
      <c r="J267" s="7"/>
      <c r="K267" s="7"/>
      <c r="M267" s="3"/>
      <c r="N267" s="3"/>
    </row>
    <row r="268" spans="1:14" ht="13" x14ac:dyDescent="0.15">
      <c r="A268" s="29"/>
      <c r="B268" s="2"/>
      <c r="C268" s="2"/>
      <c r="D268" s="2"/>
      <c r="E268" s="3"/>
      <c r="F268" s="3"/>
      <c r="G268" s="7"/>
      <c r="J268" s="7"/>
      <c r="K268" s="7"/>
      <c r="M268" s="3"/>
      <c r="N268" s="3"/>
    </row>
    <row r="269" spans="1:14" ht="13" x14ac:dyDescent="0.15">
      <c r="A269" s="29"/>
      <c r="B269" s="2"/>
      <c r="C269" s="2"/>
      <c r="D269" s="2"/>
      <c r="E269" s="3"/>
      <c r="F269" s="3"/>
      <c r="G269" s="7"/>
      <c r="J269" s="7"/>
      <c r="K269" s="7"/>
      <c r="M269" s="3"/>
      <c r="N269" s="3"/>
    </row>
    <row r="270" spans="1:14" ht="13" x14ac:dyDescent="0.15">
      <c r="A270" s="29"/>
      <c r="B270" s="2"/>
      <c r="C270" s="2"/>
      <c r="D270" s="2"/>
      <c r="E270" s="3"/>
      <c r="F270" s="3"/>
      <c r="G270" s="7"/>
      <c r="J270" s="7"/>
      <c r="K270" s="7"/>
      <c r="M270" s="3"/>
      <c r="N270" s="3"/>
    </row>
    <row r="271" spans="1:14" ht="13" x14ac:dyDescent="0.15">
      <c r="A271" s="29"/>
      <c r="B271" s="2"/>
      <c r="C271" s="2"/>
      <c r="D271" s="2"/>
      <c r="E271" s="3"/>
      <c r="F271" s="3"/>
      <c r="G271" s="7"/>
      <c r="J271" s="7"/>
      <c r="K271" s="7"/>
      <c r="M271" s="3"/>
      <c r="N271" s="3"/>
    </row>
    <row r="272" spans="1:14" ht="13" x14ac:dyDescent="0.15">
      <c r="A272" s="29"/>
      <c r="B272" s="2"/>
      <c r="C272" s="2"/>
      <c r="D272" s="2"/>
      <c r="E272" s="3"/>
      <c r="F272" s="3"/>
      <c r="G272" s="7"/>
      <c r="J272" s="7"/>
      <c r="K272" s="7"/>
      <c r="M272" s="3"/>
      <c r="N272" s="3"/>
    </row>
    <row r="273" spans="1:14" ht="13" x14ac:dyDescent="0.15">
      <c r="A273" s="29"/>
      <c r="B273" s="2"/>
      <c r="C273" s="2"/>
      <c r="D273" s="2"/>
      <c r="E273" s="3"/>
      <c r="F273" s="3"/>
      <c r="G273" s="7"/>
      <c r="J273" s="7"/>
      <c r="K273" s="7"/>
      <c r="M273" s="3"/>
      <c r="N273" s="3"/>
    </row>
    <row r="274" spans="1:14" ht="13" x14ac:dyDescent="0.15">
      <c r="A274" s="29"/>
      <c r="B274" s="2"/>
      <c r="C274" s="2"/>
      <c r="D274" s="2"/>
      <c r="E274" s="3"/>
      <c r="F274" s="3"/>
      <c r="G274" s="7"/>
      <c r="J274" s="7"/>
      <c r="K274" s="7"/>
      <c r="M274" s="3"/>
      <c r="N274" s="3"/>
    </row>
    <row r="275" spans="1:14" ht="13" x14ac:dyDescent="0.15">
      <c r="A275" s="29"/>
      <c r="B275" s="2"/>
      <c r="C275" s="2"/>
      <c r="D275" s="2"/>
      <c r="E275" s="3"/>
      <c r="F275" s="3"/>
      <c r="G275" s="7"/>
      <c r="J275" s="7"/>
      <c r="K275" s="7"/>
      <c r="M275" s="3"/>
      <c r="N275" s="3"/>
    </row>
    <row r="276" spans="1:14" ht="13" x14ac:dyDescent="0.15">
      <c r="A276" s="29"/>
      <c r="B276" s="2"/>
      <c r="C276" s="2"/>
      <c r="D276" s="2"/>
      <c r="E276" s="3"/>
      <c r="F276" s="3"/>
      <c r="G276" s="7"/>
      <c r="J276" s="7"/>
      <c r="K276" s="7"/>
      <c r="M276" s="3"/>
      <c r="N276" s="3"/>
    </row>
    <row r="277" spans="1:14" ht="13" x14ac:dyDescent="0.15">
      <c r="A277" s="29"/>
      <c r="B277" s="2"/>
      <c r="C277" s="2"/>
      <c r="D277" s="2"/>
      <c r="E277" s="3"/>
      <c r="F277" s="3"/>
      <c r="G277" s="7"/>
      <c r="J277" s="7"/>
      <c r="K277" s="7"/>
      <c r="M277" s="3"/>
      <c r="N277" s="3"/>
    </row>
    <row r="278" spans="1:14" ht="13" x14ac:dyDescent="0.15">
      <c r="A278" s="29"/>
      <c r="B278" s="2"/>
      <c r="C278" s="2"/>
      <c r="D278" s="2"/>
      <c r="E278" s="3"/>
      <c r="F278" s="3"/>
      <c r="G278" s="7"/>
      <c r="J278" s="7"/>
      <c r="K278" s="7"/>
      <c r="M278" s="3"/>
      <c r="N278" s="3"/>
    </row>
    <row r="279" spans="1:14" ht="13" x14ac:dyDescent="0.15">
      <c r="A279" s="29"/>
      <c r="B279" s="2"/>
      <c r="C279" s="2"/>
      <c r="D279" s="2"/>
      <c r="E279" s="3"/>
      <c r="F279" s="3"/>
      <c r="G279" s="7"/>
      <c r="J279" s="7"/>
      <c r="K279" s="7"/>
      <c r="M279" s="3"/>
      <c r="N279" s="3"/>
    </row>
    <row r="280" spans="1:14" ht="13" x14ac:dyDescent="0.15">
      <c r="A280" s="29"/>
      <c r="B280" s="2"/>
      <c r="C280" s="2"/>
      <c r="D280" s="2"/>
      <c r="E280" s="3"/>
      <c r="F280" s="3"/>
      <c r="G280" s="7"/>
      <c r="J280" s="7"/>
      <c r="K280" s="7"/>
      <c r="M280" s="3"/>
      <c r="N280" s="3"/>
    </row>
    <row r="281" spans="1:14" ht="13" x14ac:dyDescent="0.15">
      <c r="A281" s="29"/>
      <c r="B281" s="2"/>
      <c r="C281" s="2"/>
      <c r="D281" s="2"/>
      <c r="E281" s="3"/>
      <c r="F281" s="3"/>
      <c r="G281" s="7"/>
      <c r="J281" s="7"/>
      <c r="K281" s="7"/>
      <c r="M281" s="3"/>
      <c r="N281" s="3"/>
    </row>
    <row r="282" spans="1:14" ht="13" x14ac:dyDescent="0.15">
      <c r="A282" s="29"/>
      <c r="B282" s="2"/>
      <c r="C282" s="2"/>
      <c r="D282" s="2"/>
      <c r="E282" s="3"/>
      <c r="F282" s="3"/>
      <c r="G282" s="7"/>
      <c r="J282" s="7"/>
      <c r="K282" s="7"/>
      <c r="M282" s="3"/>
      <c r="N282" s="3"/>
    </row>
    <row r="283" spans="1:14" ht="13" x14ac:dyDescent="0.15">
      <c r="A283" s="29"/>
      <c r="B283" s="2"/>
      <c r="C283" s="2"/>
      <c r="D283" s="2"/>
      <c r="E283" s="3"/>
      <c r="F283" s="3"/>
      <c r="G283" s="7"/>
      <c r="J283" s="7"/>
      <c r="K283" s="7"/>
      <c r="M283" s="3"/>
      <c r="N283" s="3"/>
    </row>
    <row r="284" spans="1:14" ht="13" x14ac:dyDescent="0.15">
      <c r="A284" s="29"/>
      <c r="B284" s="2"/>
      <c r="C284" s="2"/>
      <c r="D284" s="2"/>
      <c r="E284" s="3"/>
      <c r="F284" s="3"/>
      <c r="G284" s="7"/>
      <c r="J284" s="7"/>
      <c r="K284" s="7"/>
      <c r="M284" s="3"/>
      <c r="N284" s="3"/>
    </row>
    <row r="285" spans="1:14" ht="13" x14ac:dyDescent="0.15">
      <c r="A285" s="29"/>
      <c r="B285" s="2"/>
      <c r="C285" s="2"/>
      <c r="D285" s="2"/>
      <c r="E285" s="3"/>
      <c r="F285" s="3"/>
      <c r="G285" s="7"/>
      <c r="J285" s="7"/>
      <c r="K285" s="7"/>
      <c r="M285" s="3"/>
      <c r="N285" s="3"/>
    </row>
    <row r="286" spans="1:14" ht="13" x14ac:dyDescent="0.15">
      <c r="A286" s="29"/>
      <c r="B286" s="2"/>
      <c r="C286" s="2"/>
      <c r="D286" s="2"/>
      <c r="E286" s="3"/>
      <c r="F286" s="3"/>
      <c r="G286" s="7"/>
      <c r="J286" s="7"/>
      <c r="K286" s="7"/>
      <c r="M286" s="3"/>
      <c r="N286" s="3"/>
    </row>
    <row r="287" spans="1:14" ht="13" x14ac:dyDescent="0.15">
      <c r="A287" s="29"/>
      <c r="B287" s="2"/>
      <c r="C287" s="2"/>
      <c r="D287" s="2"/>
      <c r="E287" s="3"/>
      <c r="F287" s="3"/>
      <c r="G287" s="7"/>
      <c r="J287" s="7"/>
      <c r="K287" s="7"/>
      <c r="M287" s="3"/>
      <c r="N287" s="3"/>
    </row>
    <row r="288" spans="1:14" ht="13" x14ac:dyDescent="0.15">
      <c r="A288" s="29"/>
      <c r="B288" s="2"/>
      <c r="C288" s="2"/>
      <c r="D288" s="2"/>
      <c r="E288" s="3"/>
      <c r="F288" s="3"/>
      <c r="G288" s="7"/>
      <c r="J288" s="7"/>
      <c r="K288" s="7"/>
      <c r="M288" s="3"/>
      <c r="N288" s="3"/>
    </row>
    <row r="289" spans="1:14" ht="13" x14ac:dyDescent="0.15">
      <c r="A289" s="29"/>
      <c r="B289" s="2"/>
      <c r="C289" s="2"/>
      <c r="D289" s="2"/>
      <c r="E289" s="3"/>
      <c r="F289" s="3"/>
      <c r="G289" s="7"/>
      <c r="J289" s="7"/>
      <c r="K289" s="7"/>
      <c r="M289" s="3"/>
      <c r="N289" s="3"/>
    </row>
    <row r="290" spans="1:14" ht="13" x14ac:dyDescent="0.15">
      <c r="A290" s="29"/>
      <c r="B290" s="2"/>
      <c r="C290" s="2"/>
      <c r="D290" s="2"/>
      <c r="E290" s="3"/>
      <c r="F290" s="3"/>
      <c r="G290" s="7"/>
      <c r="J290" s="7"/>
      <c r="K290" s="7"/>
      <c r="M290" s="3"/>
      <c r="N290" s="3"/>
    </row>
    <row r="291" spans="1:14" ht="13" x14ac:dyDescent="0.15">
      <c r="A291" s="29"/>
      <c r="B291" s="2"/>
      <c r="C291" s="2"/>
      <c r="D291" s="2"/>
      <c r="E291" s="3"/>
      <c r="F291" s="3"/>
      <c r="G291" s="7"/>
      <c r="J291" s="7"/>
      <c r="K291" s="7"/>
      <c r="M291" s="3"/>
      <c r="N291" s="3"/>
    </row>
    <row r="292" spans="1:14" ht="13" x14ac:dyDescent="0.15">
      <c r="A292" s="29"/>
      <c r="B292" s="2"/>
      <c r="C292" s="2"/>
      <c r="D292" s="2"/>
      <c r="E292" s="3"/>
      <c r="F292" s="3"/>
      <c r="G292" s="7"/>
      <c r="J292" s="7"/>
      <c r="K292" s="7"/>
      <c r="M292" s="3"/>
      <c r="N292" s="3"/>
    </row>
    <row r="293" spans="1:14" ht="13" x14ac:dyDescent="0.15">
      <c r="A293" s="29"/>
      <c r="B293" s="2"/>
      <c r="C293" s="2"/>
      <c r="D293" s="2"/>
      <c r="E293" s="3"/>
      <c r="F293" s="3"/>
      <c r="G293" s="7"/>
      <c r="J293" s="7"/>
      <c r="K293" s="7"/>
      <c r="M293" s="3"/>
      <c r="N293" s="3"/>
    </row>
    <row r="294" spans="1:14" ht="13" x14ac:dyDescent="0.15">
      <c r="A294" s="29"/>
      <c r="B294" s="2"/>
      <c r="C294" s="2"/>
      <c r="D294" s="2"/>
      <c r="E294" s="3"/>
      <c r="F294" s="3"/>
      <c r="G294" s="7"/>
      <c r="J294" s="7"/>
      <c r="K294" s="7"/>
      <c r="M294" s="3"/>
      <c r="N294" s="3"/>
    </row>
    <row r="295" spans="1:14" ht="13" x14ac:dyDescent="0.15">
      <c r="A295" s="29"/>
      <c r="B295" s="2"/>
      <c r="C295" s="2"/>
      <c r="D295" s="2"/>
      <c r="E295" s="3"/>
      <c r="F295" s="3"/>
      <c r="G295" s="7"/>
      <c r="J295" s="7"/>
      <c r="K295" s="7"/>
      <c r="M295" s="3"/>
      <c r="N295" s="3"/>
    </row>
    <row r="296" spans="1:14" ht="13" x14ac:dyDescent="0.15">
      <c r="A296" s="29"/>
      <c r="B296" s="2"/>
      <c r="C296" s="2"/>
      <c r="D296" s="2"/>
      <c r="E296" s="3"/>
      <c r="F296" s="3"/>
      <c r="G296" s="7"/>
      <c r="J296" s="7"/>
      <c r="K296" s="7"/>
      <c r="M296" s="3"/>
      <c r="N296" s="3"/>
    </row>
    <row r="297" spans="1:14" ht="13" x14ac:dyDescent="0.15">
      <c r="A297" s="29"/>
      <c r="B297" s="2"/>
      <c r="C297" s="2"/>
      <c r="D297" s="2"/>
      <c r="E297" s="3"/>
      <c r="F297" s="3"/>
      <c r="G297" s="7"/>
      <c r="J297" s="7"/>
      <c r="K297" s="7"/>
      <c r="M297" s="3"/>
      <c r="N297" s="3"/>
    </row>
    <row r="298" spans="1:14" ht="13" x14ac:dyDescent="0.15">
      <c r="A298" s="29"/>
      <c r="B298" s="2"/>
      <c r="C298" s="2"/>
      <c r="D298" s="2"/>
      <c r="E298" s="3"/>
      <c r="F298" s="3"/>
      <c r="G298" s="7"/>
      <c r="J298" s="7"/>
      <c r="K298" s="7"/>
      <c r="M298" s="3"/>
      <c r="N298" s="3"/>
    </row>
    <row r="299" spans="1:14" ht="13" x14ac:dyDescent="0.15">
      <c r="A299" s="29"/>
      <c r="B299" s="2"/>
      <c r="C299" s="2"/>
      <c r="D299" s="2"/>
      <c r="E299" s="3"/>
      <c r="F299" s="3"/>
      <c r="G299" s="7"/>
      <c r="J299" s="7"/>
      <c r="K299" s="7"/>
      <c r="M299" s="3"/>
      <c r="N299" s="3"/>
    </row>
    <row r="300" spans="1:14" ht="13" x14ac:dyDescent="0.15">
      <c r="A300" s="29"/>
      <c r="B300" s="2"/>
      <c r="C300" s="2"/>
      <c r="D300" s="2"/>
      <c r="E300" s="3"/>
      <c r="F300" s="3"/>
      <c r="G300" s="7"/>
      <c r="J300" s="7"/>
      <c r="K300" s="7"/>
      <c r="M300" s="3"/>
      <c r="N300" s="3"/>
    </row>
    <row r="301" spans="1:14" ht="13" x14ac:dyDescent="0.15">
      <c r="A301" s="29"/>
      <c r="B301" s="2"/>
      <c r="C301" s="2"/>
      <c r="D301" s="2"/>
      <c r="E301" s="3"/>
      <c r="F301" s="3"/>
      <c r="G301" s="7"/>
      <c r="J301" s="7"/>
      <c r="K301" s="7"/>
      <c r="M301" s="3"/>
      <c r="N301" s="3"/>
    </row>
    <row r="302" spans="1:14" ht="13" x14ac:dyDescent="0.15">
      <c r="A302" s="29"/>
      <c r="B302" s="2"/>
      <c r="C302" s="2"/>
      <c r="D302" s="2"/>
      <c r="E302" s="3"/>
      <c r="F302" s="3"/>
      <c r="G302" s="7"/>
      <c r="J302" s="7"/>
      <c r="K302" s="7"/>
      <c r="M302" s="3"/>
      <c r="N302" s="3"/>
    </row>
    <row r="303" spans="1:14" ht="13" x14ac:dyDescent="0.15">
      <c r="A303" s="29"/>
      <c r="B303" s="2"/>
      <c r="C303" s="2"/>
      <c r="D303" s="2"/>
      <c r="E303" s="3"/>
      <c r="F303" s="3"/>
      <c r="G303" s="7"/>
      <c r="J303" s="7"/>
      <c r="K303" s="7"/>
      <c r="M303" s="3"/>
      <c r="N303" s="3"/>
    </row>
    <row r="304" spans="1:14" ht="13" x14ac:dyDescent="0.15">
      <c r="A304" s="29"/>
      <c r="B304" s="2"/>
      <c r="C304" s="2"/>
      <c r="D304" s="2"/>
      <c r="E304" s="3"/>
      <c r="F304" s="3"/>
      <c r="G304" s="7"/>
      <c r="J304" s="7"/>
      <c r="K304" s="7"/>
      <c r="M304" s="3"/>
      <c r="N304" s="3"/>
    </row>
    <row r="305" spans="1:14" ht="13" x14ac:dyDescent="0.15">
      <c r="A305" s="29"/>
      <c r="B305" s="2"/>
      <c r="C305" s="2"/>
      <c r="D305" s="2"/>
      <c r="E305" s="3"/>
      <c r="F305" s="3"/>
      <c r="G305" s="7"/>
      <c r="J305" s="7"/>
      <c r="K305" s="7"/>
      <c r="M305" s="3"/>
      <c r="N305" s="3"/>
    </row>
    <row r="306" spans="1:14" ht="13" x14ac:dyDescent="0.15">
      <c r="A306" s="29"/>
      <c r="B306" s="2"/>
      <c r="C306" s="2"/>
      <c r="D306" s="2"/>
      <c r="E306" s="3"/>
      <c r="F306" s="3"/>
      <c r="G306" s="7"/>
      <c r="J306" s="7"/>
      <c r="K306" s="7"/>
      <c r="M306" s="3"/>
      <c r="N306" s="3"/>
    </row>
    <row r="307" spans="1:14" ht="13" x14ac:dyDescent="0.15">
      <c r="A307" s="29"/>
      <c r="B307" s="2"/>
      <c r="C307" s="2"/>
      <c r="D307" s="2"/>
      <c r="E307" s="3"/>
      <c r="F307" s="3"/>
      <c r="G307" s="7"/>
      <c r="J307" s="7"/>
      <c r="K307" s="7"/>
      <c r="M307" s="3"/>
      <c r="N307" s="3"/>
    </row>
    <row r="308" spans="1:14" ht="13" x14ac:dyDescent="0.15">
      <c r="A308" s="29"/>
      <c r="B308" s="2"/>
      <c r="C308" s="2"/>
      <c r="D308" s="2"/>
      <c r="E308" s="3"/>
      <c r="F308" s="3"/>
      <c r="G308" s="7"/>
      <c r="J308" s="7"/>
      <c r="K308" s="7"/>
      <c r="M308" s="3"/>
      <c r="N308" s="3"/>
    </row>
    <row r="309" spans="1:14" ht="13" x14ac:dyDescent="0.15">
      <c r="A309" s="29"/>
      <c r="B309" s="2"/>
      <c r="C309" s="2"/>
      <c r="D309" s="2"/>
      <c r="E309" s="3"/>
      <c r="F309" s="3"/>
      <c r="G309" s="7"/>
      <c r="J309" s="7"/>
      <c r="K309" s="7"/>
      <c r="M309" s="3"/>
      <c r="N309" s="3"/>
    </row>
    <row r="310" spans="1:14" ht="13" x14ac:dyDescent="0.15">
      <c r="A310" s="29"/>
      <c r="B310" s="2"/>
      <c r="C310" s="2"/>
      <c r="D310" s="2"/>
      <c r="E310" s="3"/>
      <c r="F310" s="3"/>
      <c r="G310" s="7"/>
      <c r="J310" s="7"/>
      <c r="K310" s="7"/>
      <c r="M310" s="3"/>
      <c r="N310" s="3"/>
    </row>
    <row r="311" spans="1:14" ht="13" x14ac:dyDescent="0.15">
      <c r="A311" s="29"/>
      <c r="B311" s="2"/>
      <c r="C311" s="2"/>
      <c r="D311" s="2"/>
      <c r="E311" s="3"/>
      <c r="F311" s="3"/>
      <c r="G311" s="7"/>
      <c r="J311" s="7"/>
      <c r="K311" s="7"/>
      <c r="M311" s="3"/>
      <c r="N311" s="3"/>
    </row>
    <row r="312" spans="1:14" ht="13" x14ac:dyDescent="0.15">
      <c r="A312" s="29"/>
      <c r="B312" s="2"/>
      <c r="C312" s="2"/>
      <c r="D312" s="2"/>
      <c r="E312" s="3"/>
      <c r="F312" s="3"/>
      <c r="G312" s="7"/>
      <c r="J312" s="7"/>
      <c r="K312" s="7"/>
      <c r="M312" s="3"/>
      <c r="N312" s="3"/>
    </row>
    <row r="313" spans="1:14" ht="13" x14ac:dyDescent="0.15">
      <c r="A313" s="29"/>
      <c r="B313" s="2"/>
      <c r="C313" s="2"/>
      <c r="D313" s="2"/>
      <c r="E313" s="3"/>
      <c r="F313" s="3"/>
      <c r="G313" s="7"/>
      <c r="J313" s="7"/>
      <c r="K313" s="7"/>
      <c r="M313" s="3"/>
      <c r="N313" s="3"/>
    </row>
    <row r="314" spans="1:14" ht="13" x14ac:dyDescent="0.15">
      <c r="A314" s="29"/>
      <c r="B314" s="2"/>
      <c r="C314" s="2"/>
      <c r="D314" s="2"/>
      <c r="E314" s="3"/>
      <c r="F314" s="3"/>
      <c r="G314" s="7"/>
      <c r="J314" s="7"/>
      <c r="K314" s="7"/>
      <c r="M314" s="3"/>
      <c r="N314" s="3"/>
    </row>
    <row r="315" spans="1:14" ht="13" x14ac:dyDescent="0.15">
      <c r="A315" s="29"/>
      <c r="B315" s="2"/>
      <c r="C315" s="2"/>
      <c r="D315" s="2"/>
      <c r="E315" s="3"/>
      <c r="F315" s="3"/>
      <c r="G315" s="7"/>
      <c r="J315" s="7"/>
      <c r="K315" s="7"/>
      <c r="M315" s="3"/>
      <c r="N315" s="3"/>
    </row>
    <row r="316" spans="1:14" ht="13" x14ac:dyDescent="0.15">
      <c r="A316" s="29"/>
      <c r="B316" s="2"/>
      <c r="C316" s="2"/>
      <c r="D316" s="2"/>
      <c r="E316" s="3"/>
      <c r="F316" s="3"/>
      <c r="G316" s="7"/>
      <c r="J316" s="7"/>
      <c r="K316" s="7"/>
      <c r="M316" s="3"/>
      <c r="N316" s="3"/>
    </row>
    <row r="317" spans="1:14" ht="13" x14ac:dyDescent="0.15">
      <c r="A317" s="29"/>
      <c r="B317" s="2"/>
      <c r="C317" s="2"/>
      <c r="D317" s="2"/>
      <c r="E317" s="3"/>
      <c r="F317" s="3"/>
      <c r="G317" s="7"/>
      <c r="J317" s="7"/>
      <c r="K317" s="7"/>
      <c r="M317" s="3"/>
      <c r="N317" s="3"/>
    </row>
    <row r="318" spans="1:14" ht="13" x14ac:dyDescent="0.15">
      <c r="A318" s="29"/>
      <c r="B318" s="2"/>
      <c r="C318" s="2"/>
      <c r="D318" s="2"/>
      <c r="E318" s="3"/>
      <c r="F318" s="3"/>
      <c r="G318" s="7"/>
      <c r="J318" s="7"/>
      <c r="K318" s="7"/>
      <c r="M318" s="3"/>
      <c r="N318" s="3"/>
    </row>
    <row r="319" spans="1:14" ht="13" x14ac:dyDescent="0.15">
      <c r="A319" s="29"/>
      <c r="B319" s="2"/>
      <c r="C319" s="2"/>
      <c r="D319" s="2"/>
      <c r="E319" s="3"/>
      <c r="F319" s="3"/>
      <c r="G319" s="7"/>
      <c r="J319" s="7"/>
      <c r="K319" s="7"/>
      <c r="M319" s="3"/>
      <c r="N319" s="3"/>
    </row>
    <row r="320" spans="1:14" ht="13" x14ac:dyDescent="0.15">
      <c r="A320" s="29"/>
      <c r="B320" s="2"/>
      <c r="C320" s="2"/>
      <c r="D320" s="2"/>
      <c r="E320" s="3"/>
      <c r="F320" s="3"/>
      <c r="G320" s="7"/>
      <c r="J320" s="7"/>
      <c r="K320" s="7"/>
      <c r="M320" s="3"/>
      <c r="N320" s="3"/>
    </row>
    <row r="321" spans="1:14" ht="13" x14ac:dyDescent="0.15">
      <c r="A321" s="29"/>
      <c r="B321" s="2"/>
      <c r="C321" s="2"/>
      <c r="D321" s="2"/>
      <c r="E321" s="3"/>
      <c r="F321" s="3"/>
      <c r="G321" s="7"/>
      <c r="J321" s="7"/>
      <c r="K321" s="7"/>
      <c r="M321" s="3"/>
      <c r="N321" s="3"/>
    </row>
    <row r="322" spans="1:14" ht="13" x14ac:dyDescent="0.15">
      <c r="A322" s="29"/>
      <c r="B322" s="2"/>
      <c r="C322" s="2"/>
      <c r="D322" s="2"/>
      <c r="E322" s="3"/>
      <c r="F322" s="3"/>
      <c r="G322" s="7"/>
      <c r="J322" s="7"/>
      <c r="K322" s="7"/>
      <c r="M322" s="3"/>
      <c r="N322" s="3"/>
    </row>
    <row r="323" spans="1:14" ht="13" x14ac:dyDescent="0.15">
      <c r="A323" s="29"/>
      <c r="B323" s="2"/>
      <c r="C323" s="2"/>
      <c r="D323" s="2"/>
      <c r="E323" s="3"/>
      <c r="F323" s="3"/>
      <c r="G323" s="7"/>
      <c r="J323" s="7"/>
      <c r="K323" s="7"/>
      <c r="M323" s="3"/>
      <c r="N323" s="3"/>
    </row>
    <row r="324" spans="1:14" ht="13" x14ac:dyDescent="0.15">
      <c r="A324" s="29"/>
      <c r="B324" s="2"/>
      <c r="C324" s="2"/>
      <c r="D324" s="2"/>
      <c r="E324" s="3"/>
      <c r="F324" s="3"/>
      <c r="G324" s="7"/>
      <c r="J324" s="7"/>
      <c r="K324" s="7"/>
      <c r="M324" s="3"/>
      <c r="N324" s="3"/>
    </row>
    <row r="325" spans="1:14" ht="13" x14ac:dyDescent="0.15">
      <c r="A325" s="29"/>
      <c r="B325" s="2"/>
      <c r="C325" s="2"/>
      <c r="D325" s="2"/>
      <c r="E325" s="3"/>
      <c r="F325" s="3"/>
      <c r="G325" s="7"/>
      <c r="J325" s="7"/>
      <c r="K325" s="7"/>
      <c r="M325" s="3"/>
      <c r="N325" s="3"/>
    </row>
    <row r="326" spans="1:14" ht="13" x14ac:dyDescent="0.15">
      <c r="A326" s="29"/>
      <c r="B326" s="2"/>
      <c r="C326" s="2"/>
      <c r="D326" s="2"/>
      <c r="E326" s="3"/>
      <c r="F326" s="3"/>
      <c r="G326" s="7"/>
      <c r="J326" s="7"/>
      <c r="K326" s="7"/>
      <c r="M326" s="3"/>
      <c r="N326" s="3"/>
    </row>
    <row r="327" spans="1:14" ht="13" x14ac:dyDescent="0.15">
      <c r="A327" s="29"/>
      <c r="B327" s="2"/>
      <c r="C327" s="2"/>
      <c r="D327" s="2"/>
      <c r="E327" s="3"/>
      <c r="F327" s="3"/>
      <c r="G327" s="7"/>
      <c r="J327" s="7"/>
      <c r="K327" s="7"/>
      <c r="M327" s="3"/>
      <c r="N327" s="3"/>
    </row>
    <row r="328" spans="1:14" ht="13" x14ac:dyDescent="0.15">
      <c r="A328" s="29"/>
      <c r="B328" s="2"/>
      <c r="C328" s="2"/>
      <c r="D328" s="2"/>
      <c r="E328" s="3"/>
      <c r="F328" s="3"/>
      <c r="G328" s="7"/>
      <c r="J328" s="7"/>
      <c r="K328" s="7"/>
      <c r="M328" s="3"/>
      <c r="N328" s="3"/>
    </row>
    <row r="329" spans="1:14" ht="13" x14ac:dyDescent="0.15">
      <c r="A329" s="29"/>
      <c r="B329" s="2"/>
      <c r="C329" s="2"/>
      <c r="D329" s="2"/>
      <c r="E329" s="3"/>
      <c r="F329" s="3"/>
      <c r="G329" s="7"/>
      <c r="J329" s="7"/>
      <c r="K329" s="7"/>
      <c r="M329" s="3"/>
      <c r="N329" s="3"/>
    </row>
    <row r="330" spans="1:14" ht="13" x14ac:dyDescent="0.15">
      <c r="A330" s="29"/>
      <c r="B330" s="2"/>
      <c r="C330" s="2"/>
      <c r="D330" s="2"/>
      <c r="E330" s="3"/>
      <c r="F330" s="3"/>
      <c r="G330" s="7"/>
      <c r="J330" s="7"/>
      <c r="K330" s="7"/>
      <c r="M330" s="3"/>
      <c r="N330" s="3"/>
    </row>
    <row r="331" spans="1:14" ht="13" x14ac:dyDescent="0.15">
      <c r="A331" s="29"/>
      <c r="B331" s="2"/>
      <c r="C331" s="2"/>
      <c r="D331" s="2"/>
      <c r="E331" s="3"/>
      <c r="F331" s="3"/>
      <c r="G331" s="7"/>
      <c r="J331" s="7"/>
      <c r="K331" s="7"/>
      <c r="M331" s="3"/>
      <c r="N331" s="3"/>
    </row>
    <row r="332" spans="1:14" ht="13" x14ac:dyDescent="0.15">
      <c r="A332" s="29"/>
      <c r="B332" s="2"/>
      <c r="C332" s="2"/>
      <c r="D332" s="2"/>
      <c r="E332" s="3"/>
      <c r="F332" s="3"/>
      <c r="G332" s="7"/>
      <c r="J332" s="7"/>
      <c r="K332" s="7"/>
      <c r="M332" s="3"/>
      <c r="N332" s="3"/>
    </row>
    <row r="333" spans="1:14" ht="13" x14ac:dyDescent="0.15">
      <c r="A333" s="29"/>
      <c r="B333" s="2"/>
      <c r="C333" s="2"/>
      <c r="D333" s="2"/>
      <c r="E333" s="3"/>
      <c r="F333" s="3"/>
      <c r="G333" s="7"/>
      <c r="J333" s="7"/>
      <c r="K333" s="7"/>
      <c r="M333" s="3"/>
      <c r="N333" s="3"/>
    </row>
    <row r="334" spans="1:14" ht="13" x14ac:dyDescent="0.15">
      <c r="A334" s="29"/>
      <c r="B334" s="2"/>
      <c r="C334" s="2"/>
      <c r="D334" s="2"/>
      <c r="E334" s="3"/>
      <c r="F334" s="3"/>
      <c r="G334" s="7"/>
      <c r="J334" s="7"/>
      <c r="K334" s="7"/>
      <c r="M334" s="3"/>
      <c r="N334" s="3"/>
    </row>
    <row r="335" spans="1:14" ht="13" x14ac:dyDescent="0.15">
      <c r="A335" s="29"/>
      <c r="B335" s="2"/>
      <c r="C335" s="2"/>
      <c r="D335" s="2"/>
      <c r="E335" s="3"/>
      <c r="F335" s="3"/>
      <c r="G335" s="7"/>
      <c r="J335" s="7"/>
      <c r="K335" s="7"/>
      <c r="M335" s="3"/>
      <c r="N335" s="3"/>
    </row>
    <row r="336" spans="1:14" ht="13" x14ac:dyDescent="0.15">
      <c r="A336" s="29"/>
      <c r="B336" s="2"/>
      <c r="C336" s="2"/>
      <c r="D336" s="2"/>
      <c r="E336" s="3"/>
      <c r="F336" s="3"/>
      <c r="G336" s="7"/>
      <c r="J336" s="7"/>
      <c r="K336" s="7"/>
      <c r="M336" s="3"/>
      <c r="N336" s="3"/>
    </row>
    <row r="337" spans="1:14" ht="13" x14ac:dyDescent="0.15">
      <c r="A337" s="29"/>
      <c r="B337" s="2"/>
      <c r="C337" s="2"/>
      <c r="D337" s="2"/>
      <c r="E337" s="3"/>
      <c r="F337" s="3"/>
      <c r="G337" s="7"/>
      <c r="J337" s="7"/>
      <c r="K337" s="7"/>
      <c r="M337" s="3"/>
      <c r="N337" s="3"/>
    </row>
    <row r="338" spans="1:14" ht="13" x14ac:dyDescent="0.15">
      <c r="A338" s="29"/>
      <c r="B338" s="2"/>
      <c r="C338" s="2"/>
      <c r="D338" s="2"/>
      <c r="E338" s="3"/>
      <c r="F338" s="3"/>
      <c r="G338" s="7"/>
      <c r="J338" s="7"/>
      <c r="K338" s="7"/>
      <c r="M338" s="3"/>
      <c r="N338" s="3"/>
    </row>
    <row r="339" spans="1:14" ht="13" x14ac:dyDescent="0.15">
      <c r="A339" s="29"/>
      <c r="B339" s="2"/>
      <c r="C339" s="2"/>
      <c r="D339" s="2"/>
      <c r="E339" s="3"/>
      <c r="F339" s="3"/>
      <c r="G339" s="7"/>
      <c r="J339" s="7"/>
      <c r="K339" s="7"/>
      <c r="M339" s="3"/>
      <c r="N339" s="3"/>
    </row>
    <row r="340" spans="1:14" ht="13" x14ac:dyDescent="0.15">
      <c r="A340" s="29"/>
      <c r="B340" s="2"/>
      <c r="C340" s="2"/>
      <c r="D340" s="2"/>
      <c r="E340" s="3"/>
      <c r="F340" s="3"/>
      <c r="G340" s="7"/>
      <c r="J340" s="7"/>
      <c r="K340" s="7"/>
      <c r="M340" s="3"/>
      <c r="N340" s="3"/>
    </row>
    <row r="341" spans="1:14" ht="13" x14ac:dyDescent="0.15">
      <c r="A341" s="29"/>
      <c r="B341" s="2"/>
      <c r="C341" s="2"/>
      <c r="D341" s="2"/>
      <c r="E341" s="3"/>
      <c r="F341" s="3"/>
      <c r="G341" s="7"/>
      <c r="J341" s="7"/>
      <c r="K341" s="7"/>
      <c r="M341" s="3"/>
      <c r="N341" s="3"/>
    </row>
    <row r="342" spans="1:14" ht="13" x14ac:dyDescent="0.15">
      <c r="A342" s="29"/>
      <c r="B342" s="2"/>
      <c r="C342" s="2"/>
      <c r="D342" s="2"/>
      <c r="E342" s="3"/>
      <c r="F342" s="3"/>
      <c r="G342" s="7"/>
      <c r="J342" s="7"/>
      <c r="K342" s="7"/>
      <c r="M342" s="3"/>
      <c r="N342" s="3"/>
    </row>
    <row r="343" spans="1:14" ht="13" x14ac:dyDescent="0.15">
      <c r="A343" s="29"/>
      <c r="B343" s="2"/>
      <c r="C343" s="2"/>
      <c r="D343" s="2"/>
      <c r="E343" s="3"/>
      <c r="F343" s="3"/>
      <c r="G343" s="7"/>
      <c r="J343" s="7"/>
      <c r="K343" s="7"/>
      <c r="M343" s="3"/>
      <c r="N343" s="3"/>
    </row>
    <row r="344" spans="1:14" ht="13" x14ac:dyDescent="0.15">
      <c r="A344" s="29"/>
      <c r="B344" s="2"/>
      <c r="C344" s="2"/>
      <c r="D344" s="2"/>
      <c r="E344" s="3"/>
      <c r="F344" s="3"/>
      <c r="G344" s="7"/>
      <c r="J344" s="7"/>
      <c r="K344" s="7"/>
      <c r="M344" s="3"/>
      <c r="N344" s="3"/>
    </row>
    <row r="345" spans="1:14" ht="13" x14ac:dyDescent="0.15">
      <c r="A345" s="29"/>
      <c r="B345" s="2"/>
      <c r="C345" s="2"/>
      <c r="D345" s="2"/>
      <c r="E345" s="3"/>
      <c r="F345" s="3"/>
      <c r="G345" s="7"/>
      <c r="J345" s="7"/>
      <c r="K345" s="7"/>
      <c r="M345" s="3"/>
      <c r="N345" s="3"/>
    </row>
    <row r="346" spans="1:14" ht="13" x14ac:dyDescent="0.15">
      <c r="A346" s="29"/>
      <c r="B346" s="2"/>
      <c r="C346" s="2"/>
      <c r="D346" s="2"/>
      <c r="E346" s="3"/>
      <c r="F346" s="3"/>
      <c r="G346" s="7"/>
      <c r="J346" s="7"/>
      <c r="K346" s="7"/>
      <c r="M346" s="3"/>
      <c r="N346" s="3"/>
    </row>
    <row r="347" spans="1:14" ht="13" x14ac:dyDescent="0.15">
      <c r="A347" s="29"/>
      <c r="B347" s="2"/>
      <c r="C347" s="2"/>
      <c r="D347" s="2"/>
      <c r="E347" s="3"/>
      <c r="F347" s="3"/>
      <c r="G347" s="7"/>
      <c r="J347" s="7"/>
      <c r="K347" s="7"/>
      <c r="M347" s="3"/>
      <c r="N347" s="3"/>
    </row>
    <row r="348" spans="1:14" ht="13" x14ac:dyDescent="0.15">
      <c r="A348" s="29"/>
      <c r="B348" s="2"/>
      <c r="C348" s="2"/>
      <c r="D348" s="2"/>
      <c r="E348" s="3"/>
      <c r="F348" s="3"/>
      <c r="G348" s="7"/>
      <c r="J348" s="7"/>
      <c r="K348" s="7"/>
      <c r="M348" s="3"/>
      <c r="N348" s="3"/>
    </row>
    <row r="349" spans="1:14" ht="13" x14ac:dyDescent="0.15">
      <c r="A349" s="29"/>
      <c r="B349" s="2"/>
      <c r="C349" s="2"/>
      <c r="D349" s="2"/>
      <c r="E349" s="3"/>
      <c r="F349" s="3"/>
      <c r="G349" s="7"/>
      <c r="J349" s="7"/>
      <c r="K349" s="7"/>
      <c r="M349" s="3"/>
      <c r="N349" s="3"/>
    </row>
    <row r="350" spans="1:14" ht="13" x14ac:dyDescent="0.15">
      <c r="A350" s="29"/>
      <c r="B350" s="2"/>
      <c r="C350" s="2"/>
      <c r="D350" s="2"/>
      <c r="E350" s="3"/>
      <c r="F350" s="3"/>
      <c r="G350" s="7"/>
      <c r="J350" s="7"/>
      <c r="K350" s="7"/>
      <c r="M350" s="3"/>
      <c r="N350" s="3"/>
    </row>
    <row r="351" spans="1:14" ht="13" x14ac:dyDescent="0.15">
      <c r="A351" s="29"/>
      <c r="B351" s="2"/>
      <c r="C351" s="2"/>
      <c r="D351" s="2"/>
      <c r="E351" s="3"/>
      <c r="F351" s="3"/>
      <c r="G351" s="7"/>
      <c r="J351" s="7"/>
      <c r="K351" s="7"/>
      <c r="M351" s="3"/>
      <c r="N351" s="3"/>
    </row>
    <row r="352" spans="1:14" ht="13" x14ac:dyDescent="0.15">
      <c r="A352" s="29"/>
      <c r="B352" s="2"/>
      <c r="C352" s="2"/>
      <c r="D352" s="2"/>
      <c r="E352" s="3"/>
      <c r="F352" s="3"/>
      <c r="G352" s="7"/>
      <c r="J352" s="7"/>
      <c r="K352" s="7"/>
      <c r="M352" s="3"/>
      <c r="N352" s="3"/>
    </row>
    <row r="353" spans="1:14" ht="13" x14ac:dyDescent="0.15">
      <c r="A353" s="29"/>
      <c r="B353" s="2"/>
      <c r="C353" s="2"/>
      <c r="D353" s="2"/>
      <c r="E353" s="3"/>
      <c r="F353" s="3"/>
      <c r="G353" s="7"/>
      <c r="J353" s="7"/>
      <c r="K353" s="7"/>
      <c r="M353" s="3"/>
      <c r="N353" s="3"/>
    </row>
    <row r="354" spans="1:14" ht="13" x14ac:dyDescent="0.15">
      <c r="A354" s="29"/>
      <c r="B354" s="2"/>
      <c r="C354" s="2"/>
      <c r="D354" s="2"/>
      <c r="E354" s="3"/>
      <c r="F354" s="3"/>
      <c r="G354" s="7"/>
      <c r="J354" s="7"/>
      <c r="K354" s="7"/>
      <c r="M354" s="3"/>
      <c r="N354" s="3"/>
    </row>
    <row r="355" spans="1:14" ht="13" x14ac:dyDescent="0.15">
      <c r="A355" s="29"/>
      <c r="B355" s="2"/>
      <c r="C355" s="2"/>
      <c r="D355" s="2"/>
      <c r="E355" s="3"/>
      <c r="F355" s="3"/>
      <c r="G355" s="7"/>
      <c r="J355" s="7"/>
      <c r="K355" s="7"/>
      <c r="M355" s="3"/>
      <c r="N355" s="3"/>
    </row>
    <row r="356" spans="1:14" ht="13" x14ac:dyDescent="0.15">
      <c r="A356" s="29"/>
      <c r="B356" s="2"/>
      <c r="C356" s="2"/>
      <c r="D356" s="2"/>
      <c r="E356" s="3"/>
      <c r="F356" s="3"/>
      <c r="G356" s="7"/>
      <c r="J356" s="7"/>
      <c r="K356" s="7"/>
      <c r="M356" s="3"/>
      <c r="N356" s="3"/>
    </row>
    <row r="357" spans="1:14" ht="13" x14ac:dyDescent="0.15">
      <c r="A357" s="29"/>
      <c r="B357" s="2"/>
      <c r="C357" s="2"/>
      <c r="D357" s="2"/>
      <c r="E357" s="3"/>
      <c r="F357" s="3"/>
      <c r="G357" s="7"/>
      <c r="J357" s="7"/>
      <c r="K357" s="7"/>
      <c r="M357" s="3"/>
      <c r="N357" s="3"/>
    </row>
    <row r="358" spans="1:14" ht="13" x14ac:dyDescent="0.15">
      <c r="A358" s="29"/>
      <c r="B358" s="2"/>
      <c r="C358" s="2"/>
      <c r="D358" s="2"/>
      <c r="E358" s="3"/>
      <c r="F358" s="3"/>
      <c r="G358" s="7"/>
      <c r="J358" s="7"/>
      <c r="K358" s="7"/>
      <c r="M358" s="3"/>
      <c r="N358" s="3"/>
    </row>
    <row r="359" spans="1:14" ht="13" x14ac:dyDescent="0.15">
      <c r="A359" s="29"/>
      <c r="B359" s="2"/>
      <c r="C359" s="2"/>
      <c r="D359" s="2"/>
      <c r="E359" s="3"/>
      <c r="F359" s="3"/>
      <c r="G359" s="7"/>
      <c r="J359" s="7"/>
      <c r="K359" s="7"/>
      <c r="M359" s="3"/>
      <c r="N359" s="3"/>
    </row>
    <row r="360" spans="1:14" ht="13" x14ac:dyDescent="0.15">
      <c r="A360" s="29"/>
      <c r="B360" s="2"/>
      <c r="C360" s="2"/>
      <c r="D360" s="2"/>
      <c r="E360" s="3"/>
      <c r="F360" s="3"/>
      <c r="G360" s="7"/>
      <c r="J360" s="7"/>
      <c r="K360" s="7"/>
      <c r="M360" s="3"/>
      <c r="N360" s="3"/>
    </row>
    <row r="361" spans="1:14" ht="13" x14ac:dyDescent="0.15">
      <c r="A361" s="29"/>
      <c r="B361" s="2"/>
      <c r="C361" s="2"/>
      <c r="D361" s="2"/>
      <c r="E361" s="3"/>
      <c r="F361" s="3"/>
      <c r="G361" s="7"/>
      <c r="J361" s="7"/>
      <c r="K361" s="7"/>
      <c r="M361" s="3"/>
      <c r="N361" s="3"/>
    </row>
    <row r="362" spans="1:14" ht="13" x14ac:dyDescent="0.15">
      <c r="A362" s="29"/>
      <c r="B362" s="2"/>
      <c r="C362" s="2"/>
      <c r="D362" s="2"/>
      <c r="E362" s="3"/>
      <c r="F362" s="3"/>
      <c r="G362" s="7"/>
      <c r="J362" s="7"/>
      <c r="K362" s="7"/>
      <c r="M362" s="3"/>
      <c r="N362" s="3"/>
    </row>
    <row r="363" spans="1:14" ht="13" x14ac:dyDescent="0.15">
      <c r="A363" s="29"/>
      <c r="B363" s="2"/>
      <c r="C363" s="2"/>
      <c r="D363" s="2"/>
      <c r="E363" s="3"/>
      <c r="F363" s="3"/>
      <c r="G363" s="7"/>
      <c r="J363" s="7"/>
      <c r="K363" s="7"/>
      <c r="M363" s="3"/>
      <c r="N363" s="3"/>
    </row>
    <row r="364" spans="1:14" ht="13" x14ac:dyDescent="0.15">
      <c r="A364" s="29"/>
      <c r="B364" s="2"/>
      <c r="C364" s="2"/>
      <c r="D364" s="2"/>
      <c r="E364" s="3"/>
      <c r="F364" s="3"/>
      <c r="G364" s="7"/>
      <c r="J364" s="7"/>
      <c r="K364" s="7"/>
      <c r="M364" s="3"/>
      <c r="N364" s="3"/>
    </row>
    <row r="365" spans="1:14" ht="13" x14ac:dyDescent="0.15">
      <c r="A365" s="29"/>
      <c r="B365" s="2"/>
      <c r="C365" s="2"/>
      <c r="D365" s="2"/>
      <c r="E365" s="3"/>
      <c r="F365" s="3"/>
      <c r="G365" s="7"/>
      <c r="J365" s="7"/>
      <c r="K365" s="7"/>
      <c r="M365" s="3"/>
      <c r="N365" s="3"/>
    </row>
    <row r="366" spans="1:14" ht="13" x14ac:dyDescent="0.15">
      <c r="A366" s="29"/>
      <c r="B366" s="2"/>
      <c r="C366" s="2"/>
      <c r="D366" s="2"/>
      <c r="E366" s="3"/>
      <c r="F366" s="3"/>
      <c r="G366" s="7"/>
      <c r="J366" s="7"/>
      <c r="K366" s="7"/>
      <c r="M366" s="3"/>
      <c r="N366" s="3"/>
    </row>
    <row r="367" spans="1:14" ht="13" x14ac:dyDescent="0.15">
      <c r="A367" s="29"/>
      <c r="B367" s="2"/>
      <c r="C367" s="2"/>
      <c r="D367" s="2"/>
      <c r="E367" s="3"/>
      <c r="F367" s="3"/>
      <c r="G367" s="7"/>
      <c r="J367" s="7"/>
      <c r="K367" s="7"/>
      <c r="M367" s="3"/>
      <c r="N367" s="3"/>
    </row>
    <row r="368" spans="1:14" ht="13" x14ac:dyDescent="0.15">
      <c r="A368" s="29"/>
      <c r="B368" s="2"/>
      <c r="C368" s="2"/>
      <c r="D368" s="2"/>
      <c r="E368" s="3"/>
      <c r="F368" s="3"/>
      <c r="G368" s="7"/>
      <c r="J368" s="7"/>
      <c r="K368" s="7"/>
      <c r="M368" s="3"/>
      <c r="N368" s="3"/>
    </row>
    <row r="369" spans="1:14" ht="13" x14ac:dyDescent="0.15">
      <c r="A369" s="29"/>
      <c r="B369" s="2"/>
      <c r="C369" s="2"/>
      <c r="D369" s="2"/>
      <c r="E369" s="3"/>
      <c r="F369" s="3"/>
      <c r="G369" s="7"/>
      <c r="J369" s="7"/>
      <c r="K369" s="7"/>
      <c r="M369" s="3"/>
      <c r="N369" s="3"/>
    </row>
    <row r="370" spans="1:14" ht="13" x14ac:dyDescent="0.15">
      <c r="A370" s="29"/>
      <c r="B370" s="2"/>
      <c r="C370" s="2"/>
      <c r="D370" s="2"/>
      <c r="E370" s="3"/>
      <c r="F370" s="3"/>
      <c r="G370" s="7"/>
      <c r="J370" s="7"/>
      <c r="K370" s="7"/>
      <c r="M370" s="3"/>
      <c r="N370" s="3"/>
    </row>
    <row r="371" spans="1:14" ht="13" x14ac:dyDescent="0.15">
      <c r="A371" s="29"/>
      <c r="B371" s="2"/>
      <c r="C371" s="2"/>
      <c r="D371" s="2"/>
      <c r="E371" s="3"/>
      <c r="F371" s="3"/>
      <c r="G371" s="7"/>
      <c r="J371" s="7"/>
      <c r="K371" s="7"/>
      <c r="M371" s="3"/>
      <c r="N371" s="3"/>
    </row>
    <row r="372" spans="1:14" ht="13" x14ac:dyDescent="0.15">
      <c r="A372" s="29"/>
      <c r="B372" s="2"/>
      <c r="C372" s="2"/>
      <c r="D372" s="2"/>
      <c r="E372" s="3"/>
      <c r="F372" s="3"/>
      <c r="G372" s="7"/>
      <c r="J372" s="7"/>
      <c r="K372" s="7"/>
      <c r="M372" s="3"/>
      <c r="N372" s="3"/>
    </row>
    <row r="373" spans="1:14" ht="13" x14ac:dyDescent="0.15">
      <c r="A373" s="29"/>
      <c r="B373" s="2"/>
      <c r="C373" s="2"/>
      <c r="D373" s="2"/>
      <c r="E373" s="3"/>
      <c r="F373" s="3"/>
      <c r="G373" s="7"/>
      <c r="J373" s="7"/>
      <c r="K373" s="7"/>
      <c r="M373" s="3"/>
      <c r="N373" s="3"/>
    </row>
    <row r="374" spans="1:14" ht="13" x14ac:dyDescent="0.15">
      <c r="A374" s="29"/>
      <c r="B374" s="2"/>
      <c r="C374" s="2"/>
      <c r="D374" s="2"/>
      <c r="E374" s="3"/>
      <c r="F374" s="3"/>
      <c r="G374" s="7"/>
      <c r="J374" s="7"/>
      <c r="K374" s="7"/>
      <c r="M374" s="3"/>
      <c r="N374" s="3"/>
    </row>
    <row r="375" spans="1:14" ht="13" x14ac:dyDescent="0.15">
      <c r="A375" s="29"/>
      <c r="B375" s="2"/>
      <c r="C375" s="2"/>
      <c r="D375" s="2"/>
      <c r="E375" s="3"/>
      <c r="F375" s="3"/>
      <c r="G375" s="7"/>
      <c r="J375" s="7"/>
      <c r="K375" s="7"/>
      <c r="M375" s="3"/>
      <c r="N375" s="3"/>
    </row>
    <row r="376" spans="1:14" ht="13" x14ac:dyDescent="0.15">
      <c r="A376" s="29"/>
      <c r="B376" s="2"/>
      <c r="C376" s="2"/>
      <c r="D376" s="2"/>
      <c r="E376" s="3"/>
      <c r="F376" s="3"/>
      <c r="G376" s="7"/>
      <c r="J376" s="7"/>
      <c r="K376" s="7"/>
      <c r="M376" s="3"/>
      <c r="N376" s="3"/>
    </row>
    <row r="377" spans="1:14" ht="13" x14ac:dyDescent="0.15">
      <c r="A377" s="29"/>
      <c r="B377" s="2"/>
      <c r="C377" s="2"/>
      <c r="D377" s="2"/>
      <c r="E377" s="3"/>
      <c r="F377" s="3"/>
      <c r="G377" s="7"/>
      <c r="J377" s="7"/>
      <c r="K377" s="7"/>
      <c r="M377" s="3"/>
      <c r="N377" s="3"/>
    </row>
    <row r="378" spans="1:14" ht="13" x14ac:dyDescent="0.15">
      <c r="A378" s="29"/>
      <c r="B378" s="2"/>
      <c r="C378" s="2"/>
      <c r="D378" s="2"/>
      <c r="E378" s="3"/>
      <c r="F378" s="3"/>
      <c r="G378" s="7"/>
      <c r="J378" s="7"/>
      <c r="K378" s="7"/>
      <c r="M378" s="3"/>
      <c r="N378" s="3"/>
    </row>
    <row r="379" spans="1:14" ht="13" x14ac:dyDescent="0.15">
      <c r="A379" s="29"/>
      <c r="B379" s="2"/>
      <c r="C379" s="2"/>
      <c r="D379" s="2"/>
      <c r="E379" s="3"/>
      <c r="F379" s="3"/>
      <c r="G379" s="7"/>
      <c r="J379" s="7"/>
      <c r="K379" s="7"/>
      <c r="M379" s="3"/>
      <c r="N379" s="3"/>
    </row>
    <row r="380" spans="1:14" ht="13" x14ac:dyDescent="0.15">
      <c r="A380" s="29"/>
      <c r="B380" s="2"/>
      <c r="C380" s="2"/>
      <c r="D380" s="2"/>
      <c r="E380" s="3"/>
      <c r="F380" s="3"/>
      <c r="G380" s="7"/>
      <c r="J380" s="7"/>
      <c r="K380" s="7"/>
      <c r="M380" s="3"/>
      <c r="N380" s="3"/>
    </row>
    <row r="381" spans="1:14" ht="13" x14ac:dyDescent="0.15">
      <c r="A381" s="29"/>
      <c r="B381" s="2"/>
      <c r="C381" s="2"/>
      <c r="D381" s="2"/>
      <c r="E381" s="3"/>
      <c r="F381" s="3"/>
      <c r="G381" s="7"/>
      <c r="J381" s="7"/>
      <c r="K381" s="7"/>
      <c r="M381" s="3"/>
      <c r="N381" s="3"/>
    </row>
    <row r="382" spans="1:14" ht="13" x14ac:dyDescent="0.15">
      <c r="A382" s="29"/>
      <c r="B382" s="2"/>
      <c r="C382" s="2"/>
      <c r="D382" s="2"/>
      <c r="E382" s="3"/>
      <c r="F382" s="3"/>
      <c r="G382" s="7"/>
      <c r="J382" s="7"/>
      <c r="K382" s="7"/>
      <c r="M382" s="3"/>
      <c r="N382" s="3"/>
    </row>
    <row r="383" spans="1:14" ht="13" x14ac:dyDescent="0.15">
      <c r="A383" s="29"/>
      <c r="B383" s="2"/>
      <c r="C383" s="2"/>
      <c r="D383" s="2"/>
      <c r="E383" s="3"/>
      <c r="F383" s="3"/>
      <c r="G383" s="7"/>
      <c r="J383" s="7"/>
      <c r="K383" s="7"/>
      <c r="M383" s="3"/>
      <c r="N383" s="3"/>
    </row>
    <row r="384" spans="1:14" ht="13" x14ac:dyDescent="0.15">
      <c r="A384" s="29"/>
      <c r="B384" s="2"/>
      <c r="C384" s="2"/>
      <c r="D384" s="2"/>
      <c r="E384" s="3"/>
      <c r="F384" s="3"/>
      <c r="G384" s="7"/>
      <c r="J384" s="7"/>
      <c r="K384" s="7"/>
      <c r="M384" s="3"/>
      <c r="N384" s="3"/>
    </row>
    <row r="385" spans="1:14" ht="13" x14ac:dyDescent="0.15">
      <c r="A385" s="29"/>
      <c r="B385" s="2"/>
      <c r="C385" s="2"/>
      <c r="D385" s="2"/>
      <c r="E385" s="3"/>
      <c r="F385" s="3"/>
      <c r="G385" s="7"/>
      <c r="J385" s="7"/>
      <c r="K385" s="7"/>
      <c r="M385" s="3"/>
      <c r="N385" s="3"/>
    </row>
    <row r="386" spans="1:14" ht="13" x14ac:dyDescent="0.15">
      <c r="A386" s="29"/>
      <c r="B386" s="2"/>
      <c r="C386" s="2"/>
      <c r="D386" s="2"/>
      <c r="E386" s="3"/>
      <c r="F386" s="3"/>
      <c r="G386" s="7"/>
      <c r="J386" s="7"/>
      <c r="K386" s="7"/>
      <c r="M386" s="3"/>
      <c r="N386" s="3"/>
    </row>
    <row r="387" spans="1:14" ht="13" x14ac:dyDescent="0.15">
      <c r="A387" s="29"/>
      <c r="B387" s="2"/>
      <c r="C387" s="2"/>
      <c r="D387" s="2"/>
      <c r="E387" s="3"/>
      <c r="F387" s="3"/>
      <c r="G387" s="7"/>
      <c r="J387" s="7"/>
      <c r="K387" s="7"/>
      <c r="M387" s="3"/>
      <c r="N387" s="3"/>
    </row>
    <row r="388" spans="1:14" ht="13" x14ac:dyDescent="0.15">
      <c r="A388" s="29"/>
      <c r="B388" s="2"/>
      <c r="C388" s="2"/>
      <c r="D388" s="2"/>
      <c r="E388" s="3"/>
      <c r="F388" s="3"/>
      <c r="G388" s="7"/>
      <c r="J388" s="7"/>
      <c r="K388" s="7"/>
      <c r="M388" s="3"/>
      <c r="N388" s="3"/>
    </row>
    <row r="389" spans="1:14" ht="13" x14ac:dyDescent="0.15">
      <c r="A389" s="29"/>
      <c r="B389" s="2"/>
      <c r="C389" s="2"/>
      <c r="D389" s="2"/>
      <c r="E389" s="3"/>
      <c r="F389" s="3"/>
      <c r="G389" s="7"/>
      <c r="J389" s="7"/>
      <c r="K389" s="7"/>
      <c r="M389" s="3"/>
      <c r="N389" s="3"/>
    </row>
    <row r="390" spans="1:14" ht="13" x14ac:dyDescent="0.15">
      <c r="A390" s="29"/>
      <c r="B390" s="2"/>
      <c r="C390" s="2"/>
      <c r="D390" s="2"/>
      <c r="E390" s="3"/>
      <c r="F390" s="3"/>
      <c r="G390" s="7"/>
      <c r="J390" s="7"/>
      <c r="K390" s="7"/>
      <c r="M390" s="3"/>
      <c r="N390" s="3"/>
    </row>
    <row r="391" spans="1:14" ht="13" x14ac:dyDescent="0.15">
      <c r="A391" s="29"/>
      <c r="B391" s="2"/>
      <c r="C391" s="2"/>
      <c r="D391" s="2"/>
      <c r="E391" s="3"/>
      <c r="F391" s="3"/>
      <c r="G391" s="7"/>
      <c r="J391" s="7"/>
      <c r="K391" s="7"/>
      <c r="M391" s="3"/>
      <c r="N391" s="3"/>
    </row>
    <row r="392" spans="1:14" ht="13" x14ac:dyDescent="0.15">
      <c r="A392" s="29"/>
      <c r="B392" s="2"/>
      <c r="C392" s="2"/>
      <c r="D392" s="2"/>
      <c r="E392" s="3"/>
      <c r="F392" s="3"/>
      <c r="G392" s="7"/>
      <c r="J392" s="7"/>
      <c r="K392" s="7"/>
      <c r="M392" s="3"/>
      <c r="N392" s="3"/>
    </row>
    <row r="393" spans="1:14" ht="13" x14ac:dyDescent="0.15">
      <c r="A393" s="29"/>
      <c r="B393" s="2"/>
      <c r="C393" s="2"/>
      <c r="D393" s="2"/>
      <c r="E393" s="3"/>
      <c r="F393" s="3"/>
      <c r="G393" s="7"/>
      <c r="J393" s="7"/>
      <c r="K393" s="7"/>
      <c r="M393" s="3"/>
      <c r="N393" s="3"/>
    </row>
    <row r="394" spans="1:14" ht="13" x14ac:dyDescent="0.15">
      <c r="A394" s="29"/>
      <c r="B394" s="2"/>
      <c r="C394" s="2"/>
      <c r="D394" s="2"/>
      <c r="E394" s="3"/>
      <c r="F394" s="3"/>
      <c r="G394" s="7"/>
      <c r="J394" s="7"/>
      <c r="K394" s="7"/>
      <c r="M394" s="3"/>
      <c r="N394" s="3"/>
    </row>
    <row r="395" spans="1:14" ht="13" x14ac:dyDescent="0.15">
      <c r="A395" s="29"/>
      <c r="B395" s="2"/>
      <c r="C395" s="2"/>
      <c r="D395" s="2"/>
      <c r="E395" s="3"/>
      <c r="F395" s="3"/>
      <c r="G395" s="7"/>
      <c r="J395" s="7"/>
      <c r="K395" s="7"/>
      <c r="M395" s="3"/>
      <c r="N395" s="3"/>
    </row>
    <row r="396" spans="1:14" ht="13" x14ac:dyDescent="0.15">
      <c r="A396" s="29"/>
      <c r="B396" s="2"/>
      <c r="C396" s="2"/>
      <c r="D396" s="2"/>
      <c r="E396" s="3"/>
      <c r="F396" s="3"/>
      <c r="G396" s="7"/>
      <c r="J396" s="7"/>
      <c r="K396" s="7"/>
      <c r="M396" s="3"/>
      <c r="N396" s="3"/>
    </row>
    <row r="397" spans="1:14" ht="13" x14ac:dyDescent="0.15">
      <c r="A397" s="29"/>
      <c r="B397" s="2"/>
      <c r="C397" s="2"/>
      <c r="D397" s="2"/>
      <c r="E397" s="3"/>
      <c r="F397" s="3"/>
      <c r="G397" s="7"/>
      <c r="J397" s="7"/>
      <c r="K397" s="7"/>
      <c r="M397" s="3"/>
      <c r="N397" s="3"/>
    </row>
    <row r="398" spans="1:14" ht="13" x14ac:dyDescent="0.15">
      <c r="A398" s="29"/>
      <c r="B398" s="2"/>
      <c r="C398" s="2"/>
      <c r="D398" s="2"/>
      <c r="E398" s="3"/>
      <c r="F398" s="3"/>
      <c r="G398" s="7"/>
      <c r="J398" s="7"/>
      <c r="K398" s="7"/>
      <c r="M398" s="3"/>
      <c r="N398" s="3"/>
    </row>
    <row r="399" spans="1:14" ht="13" x14ac:dyDescent="0.15">
      <c r="A399" s="29"/>
      <c r="B399" s="2"/>
      <c r="C399" s="2"/>
      <c r="D399" s="2"/>
      <c r="E399" s="3"/>
      <c r="F399" s="3"/>
      <c r="G399" s="7"/>
      <c r="J399" s="7"/>
      <c r="K399" s="7"/>
      <c r="M399" s="3"/>
      <c r="N399" s="3"/>
    </row>
    <row r="400" spans="1:14" ht="13" x14ac:dyDescent="0.15">
      <c r="A400" s="29"/>
      <c r="B400" s="2"/>
      <c r="C400" s="2"/>
      <c r="D400" s="2"/>
      <c r="E400" s="3"/>
      <c r="F400" s="3"/>
      <c r="G400" s="7"/>
      <c r="J400" s="7"/>
      <c r="K400" s="7"/>
      <c r="M400" s="3"/>
      <c r="N400" s="3"/>
    </row>
    <row r="401" spans="1:14" ht="13" x14ac:dyDescent="0.15">
      <c r="A401" s="29"/>
      <c r="B401" s="2"/>
      <c r="C401" s="2"/>
      <c r="D401" s="2"/>
      <c r="E401" s="3"/>
      <c r="F401" s="3"/>
      <c r="G401" s="7"/>
      <c r="J401" s="7"/>
      <c r="K401" s="7"/>
      <c r="M401" s="3"/>
      <c r="N401" s="3"/>
    </row>
    <row r="402" spans="1:14" ht="13" x14ac:dyDescent="0.15">
      <c r="A402" s="29"/>
      <c r="B402" s="2"/>
      <c r="C402" s="2"/>
      <c r="D402" s="2"/>
      <c r="E402" s="3"/>
      <c r="F402" s="3"/>
      <c r="G402" s="7"/>
      <c r="J402" s="7"/>
      <c r="K402" s="7"/>
      <c r="M402" s="3"/>
      <c r="N402" s="3"/>
    </row>
    <row r="403" spans="1:14" ht="13" x14ac:dyDescent="0.15">
      <c r="A403" s="29"/>
      <c r="B403" s="2"/>
      <c r="C403" s="2"/>
      <c r="D403" s="2"/>
      <c r="E403" s="3"/>
      <c r="F403" s="3"/>
      <c r="G403" s="7"/>
      <c r="J403" s="7"/>
      <c r="K403" s="7"/>
      <c r="M403" s="3"/>
      <c r="N403" s="3"/>
    </row>
    <row r="404" spans="1:14" ht="13" x14ac:dyDescent="0.15">
      <c r="A404" s="29"/>
      <c r="B404" s="2"/>
      <c r="C404" s="2"/>
      <c r="D404" s="2"/>
      <c r="E404" s="3"/>
      <c r="F404" s="3"/>
      <c r="G404" s="7"/>
      <c r="J404" s="7"/>
      <c r="K404" s="7"/>
      <c r="M404" s="3"/>
      <c r="N404" s="3"/>
    </row>
    <row r="405" spans="1:14" ht="13" x14ac:dyDescent="0.15">
      <c r="A405" s="29"/>
      <c r="B405" s="2"/>
      <c r="C405" s="2"/>
      <c r="D405" s="2"/>
      <c r="E405" s="3"/>
      <c r="F405" s="3"/>
      <c r="G405" s="7"/>
      <c r="J405" s="7"/>
      <c r="K405" s="7"/>
      <c r="M405" s="3"/>
      <c r="N405" s="3"/>
    </row>
    <row r="406" spans="1:14" ht="13" x14ac:dyDescent="0.15">
      <c r="A406" s="29"/>
      <c r="B406" s="2"/>
      <c r="C406" s="2"/>
      <c r="D406" s="2"/>
      <c r="E406" s="3"/>
      <c r="F406" s="3"/>
      <c r="G406" s="7"/>
      <c r="J406" s="7"/>
      <c r="K406" s="7"/>
      <c r="M406" s="3"/>
      <c r="N406" s="3"/>
    </row>
    <row r="407" spans="1:14" ht="13" x14ac:dyDescent="0.15">
      <c r="A407" s="29"/>
      <c r="B407" s="2"/>
      <c r="C407" s="2"/>
      <c r="D407" s="2"/>
      <c r="E407" s="3"/>
      <c r="F407" s="3"/>
      <c r="G407" s="7"/>
      <c r="J407" s="7"/>
      <c r="K407" s="7"/>
      <c r="M407" s="3"/>
      <c r="N407" s="3"/>
    </row>
    <row r="408" spans="1:14" ht="13" x14ac:dyDescent="0.15">
      <c r="A408" s="29"/>
      <c r="B408" s="2"/>
      <c r="C408" s="2"/>
      <c r="D408" s="2"/>
      <c r="E408" s="3"/>
      <c r="F408" s="3"/>
      <c r="G408" s="7"/>
      <c r="J408" s="7"/>
      <c r="K408" s="7"/>
      <c r="M408" s="3"/>
      <c r="N408" s="3"/>
    </row>
    <row r="409" spans="1:14" ht="13" x14ac:dyDescent="0.15">
      <c r="A409" s="29"/>
      <c r="B409" s="2"/>
      <c r="C409" s="2"/>
      <c r="D409" s="2"/>
      <c r="E409" s="3"/>
      <c r="F409" s="3"/>
      <c r="G409" s="7"/>
      <c r="J409" s="7"/>
      <c r="K409" s="7"/>
      <c r="M409" s="3"/>
      <c r="N409" s="3"/>
    </row>
    <row r="410" spans="1:14" ht="13" x14ac:dyDescent="0.15">
      <c r="A410" s="29"/>
      <c r="B410" s="2"/>
      <c r="C410" s="2"/>
      <c r="D410" s="2"/>
      <c r="E410" s="3"/>
      <c r="F410" s="3"/>
      <c r="G410" s="7"/>
      <c r="J410" s="7"/>
      <c r="K410" s="7"/>
      <c r="M410" s="3"/>
      <c r="N410" s="3"/>
    </row>
    <row r="411" spans="1:14" ht="13" x14ac:dyDescent="0.15">
      <c r="A411" s="29"/>
      <c r="B411" s="2"/>
      <c r="C411" s="2"/>
      <c r="D411" s="2"/>
      <c r="E411" s="3"/>
      <c r="F411" s="3"/>
      <c r="G411" s="7"/>
      <c r="J411" s="7"/>
      <c r="K411" s="7"/>
      <c r="M411" s="3"/>
      <c r="N411" s="3"/>
    </row>
    <row r="412" spans="1:14" ht="13" x14ac:dyDescent="0.15">
      <c r="A412" s="29"/>
      <c r="B412" s="2"/>
      <c r="C412" s="2"/>
      <c r="D412" s="2"/>
      <c r="E412" s="3"/>
      <c r="F412" s="3"/>
      <c r="G412" s="7"/>
      <c r="J412" s="7"/>
      <c r="K412" s="7"/>
      <c r="M412" s="3"/>
      <c r="N412" s="3"/>
    </row>
    <row r="413" spans="1:14" ht="13" x14ac:dyDescent="0.15">
      <c r="A413" s="29"/>
      <c r="B413" s="2"/>
      <c r="C413" s="2"/>
      <c r="D413" s="2"/>
      <c r="E413" s="3"/>
      <c r="F413" s="3"/>
      <c r="G413" s="7"/>
      <c r="J413" s="7"/>
      <c r="K413" s="7"/>
      <c r="M413" s="3"/>
      <c r="N413" s="3"/>
    </row>
    <row r="414" spans="1:14" ht="13" x14ac:dyDescent="0.15">
      <c r="A414" s="29"/>
      <c r="B414" s="2"/>
      <c r="C414" s="2"/>
      <c r="D414" s="2"/>
      <c r="E414" s="3"/>
      <c r="F414" s="3"/>
      <c r="G414" s="7"/>
      <c r="J414" s="7"/>
      <c r="K414" s="7"/>
      <c r="M414" s="3"/>
      <c r="N414" s="3"/>
    </row>
    <row r="415" spans="1:14" ht="13" x14ac:dyDescent="0.15">
      <c r="A415" s="29"/>
      <c r="B415" s="2"/>
      <c r="C415" s="2"/>
      <c r="D415" s="2"/>
      <c r="E415" s="3"/>
      <c r="F415" s="3"/>
      <c r="G415" s="7"/>
      <c r="J415" s="7"/>
      <c r="K415" s="7"/>
      <c r="M415" s="3"/>
      <c r="N415" s="3"/>
    </row>
    <row r="416" spans="1:14" ht="13" x14ac:dyDescent="0.15">
      <c r="A416" s="29"/>
      <c r="B416" s="2"/>
      <c r="C416" s="2"/>
      <c r="D416" s="2"/>
      <c r="E416" s="3"/>
      <c r="F416" s="3"/>
      <c r="G416" s="7"/>
      <c r="J416" s="7"/>
      <c r="K416" s="7"/>
      <c r="M416" s="3"/>
      <c r="N416" s="3"/>
    </row>
    <row r="417" spans="1:14" ht="13" x14ac:dyDescent="0.15">
      <c r="A417" s="29"/>
      <c r="B417" s="2"/>
      <c r="C417" s="2"/>
      <c r="D417" s="2"/>
      <c r="E417" s="3"/>
      <c r="F417" s="3"/>
      <c r="G417" s="7"/>
      <c r="J417" s="7"/>
      <c r="K417" s="7"/>
      <c r="M417" s="3"/>
      <c r="N417" s="3"/>
    </row>
    <row r="418" spans="1:14" ht="13" x14ac:dyDescent="0.15">
      <c r="A418" s="29"/>
      <c r="B418" s="2"/>
      <c r="C418" s="2"/>
      <c r="D418" s="2"/>
      <c r="E418" s="3"/>
      <c r="F418" s="3"/>
      <c r="G418" s="7"/>
      <c r="J418" s="7"/>
      <c r="K418" s="7"/>
      <c r="M418" s="3"/>
      <c r="N418" s="3"/>
    </row>
    <row r="419" spans="1:14" ht="13" x14ac:dyDescent="0.15">
      <c r="A419" s="29"/>
      <c r="B419" s="2"/>
      <c r="C419" s="2"/>
      <c r="D419" s="2"/>
      <c r="E419" s="3"/>
      <c r="F419" s="3"/>
      <c r="G419" s="7"/>
      <c r="J419" s="7"/>
      <c r="K419" s="7"/>
      <c r="M419" s="3"/>
      <c r="N419" s="3"/>
    </row>
    <row r="420" spans="1:14" ht="13" x14ac:dyDescent="0.15">
      <c r="A420" s="29"/>
      <c r="B420" s="2"/>
      <c r="C420" s="2"/>
      <c r="D420" s="2"/>
      <c r="E420" s="3"/>
      <c r="F420" s="3"/>
      <c r="G420" s="7"/>
      <c r="J420" s="7"/>
      <c r="K420" s="7"/>
      <c r="M420" s="3"/>
      <c r="N420" s="3"/>
    </row>
    <row r="421" spans="1:14" ht="13" x14ac:dyDescent="0.15">
      <c r="A421" s="29"/>
      <c r="B421" s="2"/>
      <c r="C421" s="2"/>
      <c r="D421" s="2"/>
      <c r="E421" s="3"/>
      <c r="F421" s="3"/>
      <c r="G421" s="7"/>
      <c r="J421" s="7"/>
      <c r="K421" s="7"/>
      <c r="M421" s="3"/>
      <c r="N421" s="3"/>
    </row>
    <row r="422" spans="1:14" ht="13" x14ac:dyDescent="0.15">
      <c r="A422" s="29"/>
      <c r="B422" s="2"/>
      <c r="C422" s="2"/>
      <c r="D422" s="2"/>
      <c r="E422" s="3"/>
      <c r="F422" s="3"/>
      <c r="G422" s="7"/>
      <c r="J422" s="7"/>
      <c r="K422" s="7"/>
      <c r="M422" s="3"/>
      <c r="N422" s="3"/>
    </row>
    <row r="423" spans="1:14" ht="13" x14ac:dyDescent="0.15">
      <c r="A423" s="29"/>
      <c r="B423" s="2"/>
      <c r="C423" s="2"/>
      <c r="D423" s="2"/>
      <c r="E423" s="3"/>
      <c r="F423" s="3"/>
      <c r="G423" s="7"/>
      <c r="J423" s="7"/>
      <c r="K423" s="7"/>
      <c r="M423" s="3"/>
      <c r="N423" s="3"/>
    </row>
    <row r="424" spans="1:14" ht="13" x14ac:dyDescent="0.15">
      <c r="A424" s="29"/>
      <c r="B424" s="2"/>
      <c r="C424" s="2"/>
      <c r="D424" s="2"/>
      <c r="E424" s="3"/>
      <c r="F424" s="3"/>
      <c r="G424" s="7"/>
      <c r="J424" s="7"/>
      <c r="K424" s="7"/>
      <c r="M424" s="3"/>
      <c r="N424" s="3"/>
    </row>
    <row r="425" spans="1:14" ht="13" x14ac:dyDescent="0.15">
      <c r="A425" s="29"/>
      <c r="B425" s="2"/>
      <c r="C425" s="2"/>
      <c r="D425" s="2"/>
      <c r="E425" s="3"/>
      <c r="F425" s="3"/>
      <c r="G425" s="7"/>
      <c r="J425" s="7"/>
      <c r="K425" s="7"/>
      <c r="M425" s="3"/>
      <c r="N425" s="3"/>
    </row>
    <row r="426" spans="1:14" ht="13" x14ac:dyDescent="0.15">
      <c r="A426" s="29"/>
      <c r="B426" s="2"/>
      <c r="C426" s="2"/>
      <c r="D426" s="2"/>
      <c r="E426" s="3"/>
      <c r="F426" s="3"/>
      <c r="G426" s="7"/>
      <c r="J426" s="7"/>
      <c r="K426" s="7"/>
      <c r="M426" s="3"/>
      <c r="N426" s="3"/>
    </row>
    <row r="427" spans="1:14" ht="13" x14ac:dyDescent="0.15">
      <c r="A427" s="29"/>
      <c r="B427" s="2"/>
      <c r="C427" s="2"/>
      <c r="D427" s="2"/>
      <c r="E427" s="3"/>
      <c r="F427" s="3"/>
      <c r="G427" s="7"/>
      <c r="J427" s="7"/>
      <c r="K427" s="7"/>
      <c r="M427" s="3"/>
      <c r="N427" s="3"/>
    </row>
    <row r="428" spans="1:14" ht="13" x14ac:dyDescent="0.15">
      <c r="A428" s="29"/>
      <c r="B428" s="2"/>
      <c r="C428" s="2"/>
      <c r="D428" s="2"/>
      <c r="E428" s="3"/>
      <c r="F428" s="3"/>
      <c r="G428" s="7"/>
      <c r="J428" s="7"/>
      <c r="K428" s="7"/>
      <c r="M428" s="3"/>
      <c r="N428" s="3"/>
    </row>
    <row r="429" spans="1:14" ht="13" x14ac:dyDescent="0.15">
      <c r="A429" s="29"/>
      <c r="B429" s="2"/>
      <c r="C429" s="2"/>
      <c r="D429" s="2"/>
      <c r="E429" s="3"/>
      <c r="F429" s="3"/>
      <c r="G429" s="7"/>
      <c r="J429" s="7"/>
      <c r="K429" s="7"/>
      <c r="M429" s="3"/>
      <c r="N429" s="3"/>
    </row>
    <row r="430" spans="1:14" ht="13" x14ac:dyDescent="0.15">
      <c r="A430" s="29"/>
      <c r="B430" s="2"/>
      <c r="C430" s="2"/>
      <c r="D430" s="2"/>
      <c r="E430" s="3"/>
      <c r="F430" s="3"/>
      <c r="G430" s="7"/>
      <c r="J430" s="7"/>
      <c r="K430" s="7"/>
      <c r="M430" s="3"/>
      <c r="N430" s="3"/>
    </row>
    <row r="431" spans="1:14" ht="13" x14ac:dyDescent="0.15">
      <c r="A431" s="29"/>
      <c r="B431" s="2"/>
      <c r="C431" s="2"/>
      <c r="D431" s="2"/>
      <c r="E431" s="3"/>
      <c r="F431" s="3"/>
      <c r="G431" s="7"/>
      <c r="J431" s="7"/>
      <c r="K431" s="7"/>
      <c r="M431" s="3"/>
      <c r="N431" s="3"/>
    </row>
    <row r="432" spans="1:14" ht="13" x14ac:dyDescent="0.15">
      <c r="A432" s="29"/>
      <c r="B432" s="2"/>
      <c r="C432" s="2"/>
      <c r="D432" s="2"/>
      <c r="E432" s="3"/>
      <c r="F432" s="3"/>
      <c r="G432" s="7"/>
      <c r="J432" s="7"/>
      <c r="K432" s="7"/>
      <c r="M432" s="3"/>
      <c r="N432" s="3"/>
    </row>
    <row r="433" spans="1:14" ht="13" x14ac:dyDescent="0.15">
      <c r="A433" s="29"/>
      <c r="B433" s="2"/>
      <c r="C433" s="2"/>
      <c r="D433" s="2"/>
      <c r="E433" s="3"/>
      <c r="F433" s="3"/>
      <c r="G433" s="7"/>
      <c r="J433" s="7"/>
      <c r="K433" s="7"/>
      <c r="M433" s="3"/>
      <c r="N433" s="3"/>
    </row>
    <row r="434" spans="1:14" ht="13" x14ac:dyDescent="0.15">
      <c r="A434" s="29"/>
      <c r="B434" s="2"/>
      <c r="C434" s="2"/>
      <c r="D434" s="2"/>
      <c r="E434" s="3"/>
      <c r="F434" s="3"/>
      <c r="G434" s="7"/>
      <c r="J434" s="7"/>
      <c r="K434" s="7"/>
      <c r="M434" s="3"/>
      <c r="N434" s="3"/>
    </row>
    <row r="435" spans="1:14" ht="13" x14ac:dyDescent="0.15">
      <c r="A435" s="29"/>
      <c r="B435" s="2"/>
      <c r="C435" s="2"/>
      <c r="D435" s="2"/>
      <c r="E435" s="3"/>
      <c r="F435" s="3"/>
      <c r="G435" s="7"/>
      <c r="J435" s="7"/>
      <c r="K435" s="7"/>
      <c r="M435" s="3"/>
      <c r="N435" s="3"/>
    </row>
    <row r="436" spans="1:14" ht="13" x14ac:dyDescent="0.15">
      <c r="A436" s="29"/>
      <c r="B436" s="2"/>
      <c r="C436" s="2"/>
      <c r="D436" s="2"/>
      <c r="E436" s="3"/>
      <c r="F436" s="3"/>
      <c r="G436" s="7"/>
      <c r="J436" s="7"/>
      <c r="K436" s="7"/>
      <c r="M436" s="3"/>
      <c r="N436" s="3"/>
    </row>
    <row r="437" spans="1:14" ht="13" x14ac:dyDescent="0.15">
      <c r="A437" s="29"/>
      <c r="B437" s="2"/>
      <c r="C437" s="2"/>
      <c r="D437" s="2"/>
      <c r="E437" s="3"/>
      <c r="F437" s="3"/>
      <c r="G437" s="7"/>
      <c r="J437" s="7"/>
      <c r="K437" s="7"/>
      <c r="M437" s="3"/>
      <c r="N437" s="3"/>
    </row>
    <row r="438" spans="1:14" ht="13" x14ac:dyDescent="0.15">
      <c r="A438" s="29"/>
      <c r="B438" s="2"/>
      <c r="C438" s="2"/>
      <c r="D438" s="2"/>
      <c r="E438" s="3"/>
      <c r="F438" s="3"/>
      <c r="G438" s="7"/>
      <c r="J438" s="7"/>
      <c r="K438" s="7"/>
      <c r="M438" s="3"/>
      <c r="N438" s="3"/>
    </row>
    <row r="439" spans="1:14" ht="13" x14ac:dyDescent="0.15">
      <c r="A439" s="29"/>
      <c r="B439" s="2"/>
      <c r="C439" s="2"/>
      <c r="D439" s="2"/>
      <c r="E439" s="3"/>
      <c r="F439" s="3"/>
      <c r="G439" s="7"/>
      <c r="J439" s="7"/>
      <c r="K439" s="7"/>
      <c r="M439" s="3"/>
      <c r="N439" s="3"/>
    </row>
    <row r="440" spans="1:14" ht="13" x14ac:dyDescent="0.15">
      <c r="A440" s="29"/>
      <c r="B440" s="2"/>
      <c r="C440" s="2"/>
      <c r="D440" s="2"/>
      <c r="E440" s="3"/>
      <c r="F440" s="3"/>
      <c r="G440" s="7"/>
      <c r="J440" s="7"/>
      <c r="K440" s="7"/>
      <c r="M440" s="3"/>
      <c r="N440" s="3"/>
    </row>
    <row r="441" spans="1:14" ht="13" x14ac:dyDescent="0.15">
      <c r="A441" s="29"/>
      <c r="B441" s="2"/>
      <c r="C441" s="2"/>
      <c r="D441" s="2"/>
      <c r="E441" s="3"/>
      <c r="F441" s="3"/>
      <c r="G441" s="7"/>
      <c r="J441" s="7"/>
      <c r="K441" s="7"/>
      <c r="M441" s="3"/>
      <c r="N441" s="3"/>
    </row>
    <row r="442" spans="1:14" ht="13" x14ac:dyDescent="0.15">
      <c r="A442" s="29"/>
      <c r="B442" s="2"/>
      <c r="C442" s="2"/>
      <c r="D442" s="2"/>
      <c r="E442" s="3"/>
      <c r="F442" s="3"/>
      <c r="G442" s="7"/>
      <c r="J442" s="7"/>
      <c r="K442" s="7"/>
      <c r="M442" s="3"/>
      <c r="N442" s="3"/>
    </row>
    <row r="443" spans="1:14" ht="13" x14ac:dyDescent="0.15">
      <c r="A443" s="29"/>
      <c r="B443" s="2"/>
      <c r="C443" s="2"/>
      <c r="D443" s="2"/>
      <c r="E443" s="3"/>
      <c r="F443" s="3"/>
      <c r="G443" s="7"/>
      <c r="J443" s="7"/>
      <c r="K443" s="7"/>
      <c r="M443" s="3"/>
      <c r="N443" s="3"/>
    </row>
    <row r="444" spans="1:14" ht="13" x14ac:dyDescent="0.15">
      <c r="A444" s="29"/>
      <c r="B444" s="2"/>
      <c r="C444" s="2"/>
      <c r="D444" s="2"/>
      <c r="E444" s="3"/>
      <c r="F444" s="3"/>
      <c r="G444" s="7"/>
      <c r="J444" s="7"/>
      <c r="K444" s="7"/>
      <c r="M444" s="3"/>
      <c r="N444" s="3"/>
    </row>
    <row r="445" spans="1:14" ht="13" x14ac:dyDescent="0.15">
      <c r="A445" s="29"/>
      <c r="B445" s="2"/>
      <c r="C445" s="2"/>
      <c r="D445" s="2"/>
      <c r="E445" s="3"/>
      <c r="F445" s="3"/>
      <c r="G445" s="7"/>
      <c r="J445" s="7"/>
      <c r="K445" s="7"/>
      <c r="M445" s="3"/>
      <c r="N445" s="3"/>
    </row>
    <row r="446" spans="1:14" ht="13" x14ac:dyDescent="0.15">
      <c r="A446" s="29"/>
      <c r="B446" s="2"/>
      <c r="C446" s="2"/>
      <c r="D446" s="2"/>
      <c r="E446" s="3"/>
      <c r="F446" s="3"/>
      <c r="G446" s="7"/>
      <c r="J446" s="7"/>
      <c r="K446" s="7"/>
      <c r="M446" s="3"/>
      <c r="N446" s="3"/>
    </row>
    <row r="447" spans="1:14" ht="13" x14ac:dyDescent="0.15">
      <c r="A447" s="29"/>
      <c r="B447" s="2"/>
      <c r="C447" s="2"/>
      <c r="D447" s="2"/>
      <c r="E447" s="3"/>
      <c r="F447" s="3"/>
      <c r="G447" s="7"/>
      <c r="J447" s="7"/>
      <c r="K447" s="7"/>
      <c r="M447" s="3"/>
      <c r="N447" s="3"/>
    </row>
    <row r="448" spans="1:14" ht="13" x14ac:dyDescent="0.15">
      <c r="A448" s="29"/>
      <c r="B448" s="2"/>
      <c r="C448" s="2"/>
      <c r="D448" s="2"/>
      <c r="E448" s="3"/>
      <c r="F448" s="3"/>
      <c r="G448" s="7"/>
      <c r="J448" s="7"/>
      <c r="K448" s="7"/>
      <c r="M448" s="3"/>
      <c r="N448" s="3"/>
    </row>
    <row r="449" spans="1:14" ht="13" x14ac:dyDescent="0.15">
      <c r="A449" s="29"/>
      <c r="B449" s="2"/>
      <c r="C449" s="2"/>
      <c r="D449" s="2"/>
      <c r="E449" s="3"/>
      <c r="F449" s="3"/>
      <c r="G449" s="7"/>
      <c r="J449" s="7"/>
      <c r="K449" s="7"/>
      <c r="M449" s="3"/>
      <c r="N449" s="3"/>
    </row>
    <row r="450" spans="1:14" ht="13" x14ac:dyDescent="0.15">
      <c r="A450" s="29"/>
      <c r="B450" s="2"/>
      <c r="C450" s="2"/>
      <c r="D450" s="2"/>
      <c r="E450" s="3"/>
      <c r="F450" s="3"/>
      <c r="G450" s="7"/>
      <c r="J450" s="7"/>
      <c r="K450" s="7"/>
      <c r="M450" s="3"/>
      <c r="N450" s="3"/>
    </row>
    <row r="451" spans="1:14" ht="13" x14ac:dyDescent="0.15">
      <c r="A451" s="29"/>
      <c r="B451" s="2"/>
      <c r="C451" s="2"/>
      <c r="D451" s="2"/>
      <c r="E451" s="3"/>
      <c r="F451" s="3"/>
      <c r="G451" s="7"/>
      <c r="J451" s="7"/>
      <c r="K451" s="7"/>
      <c r="M451" s="3"/>
      <c r="N451" s="3"/>
    </row>
    <row r="452" spans="1:14" ht="13" x14ac:dyDescent="0.15">
      <c r="A452" s="29"/>
      <c r="B452" s="2"/>
      <c r="C452" s="2"/>
      <c r="D452" s="2"/>
      <c r="E452" s="3"/>
      <c r="F452" s="3"/>
      <c r="G452" s="7"/>
      <c r="J452" s="7"/>
      <c r="K452" s="7"/>
      <c r="M452" s="3"/>
      <c r="N452" s="3"/>
    </row>
    <row r="453" spans="1:14" ht="13" x14ac:dyDescent="0.15">
      <c r="A453" s="29"/>
      <c r="B453" s="2"/>
      <c r="C453" s="2"/>
      <c r="D453" s="2"/>
      <c r="E453" s="3"/>
      <c r="F453" s="3"/>
      <c r="G453" s="7"/>
      <c r="J453" s="7"/>
      <c r="K453" s="7"/>
      <c r="M453" s="3"/>
      <c r="N453" s="3"/>
    </row>
    <row r="454" spans="1:14" ht="13" x14ac:dyDescent="0.15">
      <c r="A454" s="29"/>
      <c r="B454" s="2"/>
      <c r="C454" s="2"/>
      <c r="D454" s="2"/>
      <c r="E454" s="3"/>
      <c r="F454" s="3"/>
      <c r="G454" s="7"/>
      <c r="J454" s="7"/>
      <c r="K454" s="7"/>
      <c r="M454" s="3"/>
      <c r="N454" s="3"/>
    </row>
    <row r="455" spans="1:14" ht="13" x14ac:dyDescent="0.15">
      <c r="A455" s="29"/>
      <c r="B455" s="2"/>
      <c r="C455" s="2"/>
      <c r="D455" s="2"/>
      <c r="E455" s="3"/>
      <c r="F455" s="3"/>
      <c r="G455" s="7"/>
      <c r="J455" s="7"/>
      <c r="K455" s="7"/>
      <c r="M455" s="3"/>
      <c r="N455" s="3"/>
    </row>
    <row r="456" spans="1:14" ht="13" x14ac:dyDescent="0.15">
      <c r="A456" s="29"/>
      <c r="B456" s="2"/>
      <c r="C456" s="2"/>
      <c r="D456" s="2"/>
      <c r="E456" s="3"/>
      <c r="F456" s="3"/>
      <c r="G456" s="7"/>
      <c r="J456" s="7"/>
      <c r="K456" s="7"/>
      <c r="M456" s="3"/>
      <c r="N456" s="3"/>
    </row>
    <row r="457" spans="1:14" ht="13" x14ac:dyDescent="0.15">
      <c r="A457" s="29"/>
      <c r="B457" s="2"/>
      <c r="C457" s="2"/>
      <c r="D457" s="2"/>
      <c r="E457" s="3"/>
      <c r="F457" s="3"/>
      <c r="G457" s="7"/>
      <c r="J457" s="7"/>
      <c r="K457" s="7"/>
      <c r="M457" s="3"/>
      <c r="N457" s="3"/>
    </row>
    <row r="458" spans="1:14" ht="13" x14ac:dyDescent="0.15">
      <c r="A458" s="29"/>
      <c r="B458" s="2"/>
      <c r="C458" s="2"/>
      <c r="D458" s="2"/>
      <c r="E458" s="3"/>
      <c r="F458" s="3"/>
      <c r="G458" s="7"/>
      <c r="J458" s="7"/>
      <c r="K458" s="7"/>
      <c r="M458" s="3"/>
      <c r="N458" s="3"/>
    </row>
    <row r="459" spans="1:14" ht="13" x14ac:dyDescent="0.15">
      <c r="A459" s="29"/>
      <c r="B459" s="2"/>
      <c r="C459" s="2"/>
      <c r="D459" s="2"/>
      <c r="E459" s="3"/>
      <c r="F459" s="3"/>
      <c r="G459" s="7"/>
      <c r="J459" s="7"/>
      <c r="K459" s="7"/>
      <c r="M459" s="3"/>
      <c r="N459" s="3"/>
    </row>
    <row r="460" spans="1:14" ht="13" x14ac:dyDescent="0.15">
      <c r="A460" s="29"/>
      <c r="B460" s="2"/>
      <c r="C460" s="2"/>
      <c r="D460" s="2"/>
      <c r="E460" s="3"/>
      <c r="F460" s="3"/>
      <c r="G460" s="7"/>
      <c r="J460" s="7"/>
      <c r="K460" s="7"/>
      <c r="M460" s="3"/>
      <c r="N460" s="3"/>
    </row>
    <row r="461" spans="1:14" ht="13" x14ac:dyDescent="0.15">
      <c r="A461" s="29"/>
      <c r="B461" s="2"/>
      <c r="C461" s="2"/>
      <c r="D461" s="2"/>
      <c r="E461" s="3"/>
      <c r="F461" s="3"/>
      <c r="G461" s="7"/>
      <c r="J461" s="7"/>
      <c r="K461" s="7"/>
      <c r="M461" s="3"/>
      <c r="N461" s="3"/>
    </row>
    <row r="462" spans="1:14" ht="13" x14ac:dyDescent="0.15">
      <c r="A462" s="29"/>
      <c r="B462" s="2"/>
      <c r="C462" s="2"/>
      <c r="D462" s="2"/>
      <c r="E462" s="3"/>
      <c r="F462" s="3"/>
      <c r="G462" s="7"/>
      <c r="J462" s="7"/>
      <c r="K462" s="7"/>
      <c r="M462" s="3"/>
      <c r="N462" s="3"/>
    </row>
    <row r="463" spans="1:14" ht="13" x14ac:dyDescent="0.15">
      <c r="A463" s="29"/>
      <c r="B463" s="2"/>
      <c r="C463" s="2"/>
      <c r="D463" s="2"/>
      <c r="E463" s="3"/>
      <c r="F463" s="3"/>
      <c r="G463" s="7"/>
      <c r="J463" s="7"/>
      <c r="K463" s="7"/>
      <c r="M463" s="3"/>
      <c r="N463" s="3"/>
    </row>
    <row r="464" spans="1:14" ht="13" x14ac:dyDescent="0.15">
      <c r="A464" s="29"/>
      <c r="B464" s="2"/>
      <c r="C464" s="2"/>
      <c r="D464" s="2"/>
      <c r="E464" s="3"/>
      <c r="F464" s="3"/>
      <c r="G464" s="7"/>
      <c r="J464" s="7"/>
      <c r="K464" s="7"/>
      <c r="M464" s="3"/>
      <c r="N464" s="3"/>
    </row>
    <row r="465" spans="1:14" ht="13" x14ac:dyDescent="0.15">
      <c r="A465" s="29"/>
      <c r="B465" s="2"/>
      <c r="C465" s="2"/>
      <c r="D465" s="2"/>
      <c r="E465" s="3"/>
      <c r="F465" s="3"/>
      <c r="G465" s="7"/>
      <c r="J465" s="7"/>
      <c r="K465" s="7"/>
      <c r="M465" s="3"/>
      <c r="N465" s="3"/>
    </row>
    <row r="466" spans="1:14" ht="13" x14ac:dyDescent="0.15">
      <c r="A466" s="29"/>
      <c r="B466" s="2"/>
      <c r="C466" s="2"/>
      <c r="D466" s="2"/>
      <c r="E466" s="3"/>
      <c r="F466" s="3"/>
      <c r="G466" s="7"/>
      <c r="J466" s="7"/>
      <c r="K466" s="7"/>
      <c r="M466" s="3"/>
      <c r="N466" s="3"/>
    </row>
    <row r="467" spans="1:14" ht="13" x14ac:dyDescent="0.15">
      <c r="A467" s="29"/>
      <c r="B467" s="2"/>
      <c r="C467" s="2"/>
      <c r="D467" s="2"/>
      <c r="E467" s="3"/>
      <c r="F467" s="3"/>
      <c r="G467" s="7"/>
      <c r="J467" s="7"/>
      <c r="K467" s="7"/>
      <c r="M467" s="3"/>
      <c r="N467" s="3"/>
    </row>
    <row r="468" spans="1:14" ht="13" x14ac:dyDescent="0.15">
      <c r="A468" s="29"/>
      <c r="B468" s="2"/>
      <c r="C468" s="2"/>
      <c r="D468" s="2"/>
      <c r="E468" s="3"/>
      <c r="F468" s="3"/>
      <c r="G468" s="7"/>
      <c r="J468" s="7"/>
      <c r="K468" s="7"/>
      <c r="M468" s="3"/>
      <c r="N468" s="3"/>
    </row>
    <row r="469" spans="1:14" ht="13" x14ac:dyDescent="0.15">
      <c r="A469" s="29"/>
      <c r="B469" s="2"/>
      <c r="C469" s="2"/>
      <c r="D469" s="2"/>
      <c r="E469" s="3"/>
      <c r="F469" s="3"/>
      <c r="G469" s="7"/>
      <c r="J469" s="7"/>
      <c r="K469" s="7"/>
      <c r="M469" s="3"/>
      <c r="N469" s="3"/>
    </row>
    <row r="470" spans="1:14" ht="13" x14ac:dyDescent="0.15">
      <c r="A470" s="29"/>
      <c r="B470" s="2"/>
      <c r="C470" s="2"/>
      <c r="D470" s="2"/>
      <c r="E470" s="3"/>
      <c r="F470" s="3"/>
      <c r="G470" s="7"/>
      <c r="J470" s="7"/>
      <c r="K470" s="7"/>
      <c r="M470" s="3"/>
      <c r="N470" s="3"/>
    </row>
    <row r="471" spans="1:14" ht="13" x14ac:dyDescent="0.15">
      <c r="A471" s="29"/>
      <c r="B471" s="2"/>
      <c r="C471" s="2"/>
      <c r="D471" s="2"/>
      <c r="E471" s="3"/>
      <c r="F471" s="3"/>
      <c r="G471" s="7"/>
      <c r="J471" s="7"/>
      <c r="K471" s="7"/>
      <c r="M471" s="3"/>
      <c r="N471" s="3"/>
    </row>
    <row r="472" spans="1:14" ht="13" x14ac:dyDescent="0.15">
      <c r="A472" s="29"/>
      <c r="B472" s="2"/>
      <c r="C472" s="2"/>
      <c r="D472" s="2"/>
      <c r="E472" s="3"/>
      <c r="F472" s="3"/>
      <c r="G472" s="7"/>
      <c r="J472" s="7"/>
      <c r="K472" s="7"/>
      <c r="M472" s="3"/>
      <c r="N472" s="3"/>
    </row>
    <row r="473" spans="1:14" ht="13" x14ac:dyDescent="0.15">
      <c r="A473" s="29"/>
      <c r="B473" s="2"/>
      <c r="C473" s="2"/>
      <c r="D473" s="2"/>
      <c r="E473" s="3"/>
      <c r="F473" s="3"/>
      <c r="G473" s="7"/>
      <c r="J473" s="7"/>
      <c r="K473" s="7"/>
      <c r="M473" s="3"/>
      <c r="N473" s="3"/>
    </row>
    <row r="474" spans="1:14" ht="13" x14ac:dyDescent="0.15">
      <c r="A474" s="29"/>
      <c r="B474" s="2"/>
      <c r="C474" s="2"/>
      <c r="D474" s="2"/>
      <c r="E474" s="3"/>
      <c r="F474" s="3"/>
      <c r="G474" s="7"/>
      <c r="J474" s="7"/>
      <c r="K474" s="7"/>
      <c r="M474" s="3"/>
      <c r="N474" s="3"/>
    </row>
    <row r="475" spans="1:14" ht="13" x14ac:dyDescent="0.15">
      <c r="A475" s="29"/>
      <c r="B475" s="2"/>
      <c r="C475" s="2"/>
      <c r="D475" s="2"/>
      <c r="E475" s="3"/>
      <c r="F475" s="3"/>
      <c r="G475" s="7"/>
      <c r="J475" s="7"/>
      <c r="K475" s="7"/>
      <c r="M475" s="3"/>
      <c r="N475" s="3"/>
    </row>
    <row r="476" spans="1:14" ht="13" x14ac:dyDescent="0.15">
      <c r="A476" s="29"/>
      <c r="B476" s="2"/>
      <c r="C476" s="2"/>
      <c r="D476" s="2"/>
      <c r="E476" s="3"/>
      <c r="F476" s="3"/>
      <c r="G476" s="7"/>
      <c r="J476" s="7"/>
      <c r="K476" s="7"/>
      <c r="M476" s="3"/>
      <c r="N476" s="3"/>
    </row>
    <row r="477" spans="1:14" ht="13" x14ac:dyDescent="0.15">
      <c r="A477" s="29"/>
      <c r="B477" s="2"/>
      <c r="C477" s="2"/>
      <c r="D477" s="2"/>
      <c r="E477" s="3"/>
      <c r="F477" s="3"/>
      <c r="G477" s="7"/>
      <c r="J477" s="7"/>
      <c r="K477" s="7"/>
      <c r="M477" s="3"/>
      <c r="N477" s="3"/>
    </row>
    <row r="478" spans="1:14" ht="13" x14ac:dyDescent="0.15">
      <c r="A478" s="29"/>
      <c r="B478" s="2"/>
      <c r="C478" s="2"/>
      <c r="D478" s="2"/>
      <c r="E478" s="3"/>
      <c r="F478" s="3"/>
      <c r="G478" s="7"/>
      <c r="J478" s="7"/>
      <c r="K478" s="7"/>
      <c r="M478" s="3"/>
      <c r="N478" s="3"/>
    </row>
    <row r="479" spans="1:14" ht="13" x14ac:dyDescent="0.15">
      <c r="A479" s="29"/>
      <c r="B479" s="2"/>
      <c r="C479" s="2"/>
      <c r="D479" s="2"/>
      <c r="E479" s="3"/>
      <c r="F479" s="3"/>
      <c r="G479" s="7"/>
      <c r="J479" s="7"/>
      <c r="K479" s="7"/>
      <c r="M479" s="3"/>
      <c r="N479" s="3"/>
    </row>
    <row r="480" spans="1:14" ht="13" x14ac:dyDescent="0.15">
      <c r="A480" s="29"/>
      <c r="B480" s="2"/>
      <c r="C480" s="2"/>
      <c r="D480" s="2"/>
      <c r="E480" s="3"/>
      <c r="F480" s="3"/>
      <c r="G480" s="7"/>
      <c r="J480" s="7"/>
      <c r="K480" s="7"/>
      <c r="M480" s="3"/>
      <c r="N480" s="3"/>
    </row>
    <row r="481" spans="1:14" ht="13" x14ac:dyDescent="0.15">
      <c r="A481" s="29"/>
      <c r="B481" s="2"/>
      <c r="C481" s="2"/>
      <c r="D481" s="2"/>
      <c r="E481" s="3"/>
      <c r="F481" s="3"/>
      <c r="G481" s="7"/>
      <c r="J481" s="7"/>
      <c r="K481" s="7"/>
      <c r="M481" s="3"/>
      <c r="N481" s="3"/>
    </row>
    <row r="482" spans="1:14" ht="13" x14ac:dyDescent="0.15">
      <c r="A482" s="29"/>
      <c r="B482" s="2"/>
      <c r="C482" s="2"/>
      <c r="D482" s="2"/>
      <c r="E482" s="3"/>
      <c r="F482" s="3"/>
      <c r="G482" s="7"/>
      <c r="J482" s="7"/>
      <c r="K482" s="7"/>
      <c r="M482" s="3"/>
      <c r="N482" s="3"/>
    </row>
    <row r="483" spans="1:14" ht="13" x14ac:dyDescent="0.15">
      <c r="A483" s="29"/>
      <c r="B483" s="2"/>
      <c r="C483" s="2"/>
      <c r="D483" s="2"/>
      <c r="E483" s="3"/>
      <c r="F483" s="3"/>
      <c r="G483" s="7"/>
      <c r="J483" s="7"/>
      <c r="K483" s="7"/>
      <c r="M483" s="3"/>
      <c r="N483" s="3"/>
    </row>
    <row r="484" spans="1:14" ht="13" x14ac:dyDescent="0.15">
      <c r="A484" s="29"/>
      <c r="B484" s="2"/>
      <c r="C484" s="2"/>
      <c r="D484" s="2"/>
      <c r="E484" s="3"/>
      <c r="F484" s="3"/>
      <c r="G484" s="7"/>
      <c r="J484" s="7"/>
      <c r="K484" s="7"/>
      <c r="M484" s="3"/>
      <c r="N484" s="3"/>
    </row>
    <row r="485" spans="1:14" ht="13" x14ac:dyDescent="0.15">
      <c r="A485" s="29"/>
      <c r="B485" s="2"/>
      <c r="C485" s="2"/>
      <c r="D485" s="2"/>
      <c r="E485" s="3"/>
      <c r="F485" s="3"/>
      <c r="G485" s="7"/>
      <c r="J485" s="7"/>
      <c r="K485" s="7"/>
      <c r="M485" s="3"/>
      <c r="N485" s="3"/>
    </row>
    <row r="486" spans="1:14" ht="13" x14ac:dyDescent="0.15">
      <c r="A486" s="29"/>
      <c r="B486" s="2"/>
      <c r="C486" s="2"/>
      <c r="D486" s="2"/>
      <c r="E486" s="3"/>
      <c r="F486" s="3"/>
      <c r="G486" s="7"/>
      <c r="J486" s="7"/>
      <c r="K486" s="7"/>
      <c r="M486" s="3"/>
      <c r="N486" s="3"/>
    </row>
    <row r="487" spans="1:14" ht="13" x14ac:dyDescent="0.15">
      <c r="A487" s="29"/>
      <c r="B487" s="2"/>
      <c r="C487" s="2"/>
      <c r="D487" s="2"/>
      <c r="E487" s="3"/>
      <c r="F487" s="3"/>
      <c r="G487" s="7"/>
      <c r="J487" s="7"/>
      <c r="K487" s="7"/>
      <c r="M487" s="3"/>
      <c r="N487" s="3"/>
    </row>
    <row r="488" spans="1:14" ht="13" x14ac:dyDescent="0.15">
      <c r="A488" s="29"/>
      <c r="B488" s="2"/>
      <c r="C488" s="2"/>
      <c r="D488" s="2"/>
      <c r="E488" s="3"/>
      <c r="F488" s="3"/>
      <c r="G488" s="7"/>
      <c r="J488" s="7"/>
      <c r="K488" s="7"/>
      <c r="M488" s="3"/>
      <c r="N488" s="3"/>
    </row>
    <row r="489" spans="1:14" ht="13" x14ac:dyDescent="0.15">
      <c r="A489" s="29"/>
      <c r="B489" s="2"/>
      <c r="C489" s="2"/>
      <c r="D489" s="2"/>
      <c r="E489" s="3"/>
      <c r="F489" s="3"/>
      <c r="G489" s="7"/>
      <c r="J489" s="7"/>
      <c r="K489" s="7"/>
      <c r="M489" s="3"/>
      <c r="N489" s="3"/>
    </row>
    <row r="490" spans="1:14" ht="13" x14ac:dyDescent="0.15">
      <c r="A490" s="29"/>
      <c r="B490" s="2"/>
      <c r="C490" s="2"/>
      <c r="D490" s="2"/>
      <c r="E490" s="3"/>
      <c r="F490" s="3"/>
      <c r="G490" s="7"/>
      <c r="J490" s="7"/>
      <c r="K490" s="7"/>
      <c r="M490" s="3"/>
      <c r="N490" s="3"/>
    </row>
    <row r="491" spans="1:14" ht="13" x14ac:dyDescent="0.15">
      <c r="A491" s="29"/>
      <c r="B491" s="2"/>
      <c r="C491" s="2"/>
      <c r="D491" s="2"/>
      <c r="E491" s="3"/>
      <c r="F491" s="3"/>
      <c r="G491" s="7"/>
      <c r="J491" s="7"/>
      <c r="K491" s="7"/>
      <c r="M491" s="3"/>
      <c r="N491" s="3"/>
    </row>
    <row r="492" spans="1:14" ht="13" x14ac:dyDescent="0.15">
      <c r="A492" s="29"/>
      <c r="B492" s="2"/>
      <c r="C492" s="2"/>
      <c r="D492" s="2"/>
      <c r="E492" s="3"/>
      <c r="F492" s="3"/>
      <c r="G492" s="7"/>
      <c r="J492" s="7"/>
      <c r="K492" s="7"/>
      <c r="M492" s="3"/>
      <c r="N492" s="3"/>
    </row>
    <row r="493" spans="1:14" ht="13" x14ac:dyDescent="0.15">
      <c r="A493" s="29"/>
      <c r="B493" s="2"/>
      <c r="C493" s="2"/>
      <c r="D493" s="2"/>
      <c r="E493" s="3"/>
      <c r="F493" s="3"/>
      <c r="G493" s="7"/>
      <c r="J493" s="7"/>
      <c r="K493" s="7"/>
      <c r="M493" s="3"/>
      <c r="N493" s="3"/>
    </row>
    <row r="494" spans="1:14" ht="13" x14ac:dyDescent="0.15">
      <c r="A494" s="29"/>
      <c r="B494" s="2"/>
      <c r="C494" s="2"/>
      <c r="D494" s="2"/>
      <c r="E494" s="3"/>
      <c r="F494" s="3"/>
      <c r="G494" s="7"/>
      <c r="J494" s="7"/>
      <c r="K494" s="7"/>
      <c r="M494" s="3"/>
      <c r="N494" s="3"/>
    </row>
    <row r="495" spans="1:14" ht="13" x14ac:dyDescent="0.15">
      <c r="A495" s="29"/>
      <c r="B495" s="2"/>
      <c r="C495" s="2"/>
      <c r="D495" s="2"/>
      <c r="E495" s="3"/>
      <c r="F495" s="3"/>
      <c r="G495" s="7"/>
      <c r="J495" s="7"/>
      <c r="K495" s="7"/>
      <c r="M495" s="3"/>
      <c r="N495" s="3"/>
    </row>
    <row r="496" spans="1:14" ht="13" x14ac:dyDescent="0.15">
      <c r="A496" s="29"/>
      <c r="B496" s="2"/>
      <c r="C496" s="2"/>
      <c r="D496" s="2"/>
      <c r="E496" s="3"/>
      <c r="F496" s="3"/>
      <c r="G496" s="7"/>
      <c r="J496" s="7"/>
      <c r="K496" s="7"/>
      <c r="M496" s="3"/>
      <c r="N496" s="3"/>
    </row>
    <row r="497" spans="1:14" ht="13" x14ac:dyDescent="0.15">
      <c r="A497" s="29"/>
      <c r="B497" s="2"/>
      <c r="C497" s="2"/>
      <c r="D497" s="2"/>
      <c r="E497" s="3"/>
      <c r="F497" s="3"/>
      <c r="G497" s="7"/>
      <c r="J497" s="7"/>
      <c r="K497" s="7"/>
      <c r="M497" s="3"/>
      <c r="N497" s="3"/>
    </row>
    <row r="498" spans="1:14" ht="13" x14ac:dyDescent="0.15">
      <c r="A498" s="29"/>
      <c r="B498" s="2"/>
      <c r="C498" s="2"/>
      <c r="D498" s="2"/>
      <c r="E498" s="3"/>
      <c r="F498" s="3"/>
      <c r="G498" s="7"/>
      <c r="J498" s="7"/>
      <c r="K498" s="7"/>
      <c r="M498" s="3"/>
      <c r="N498" s="3"/>
    </row>
    <row r="499" spans="1:14" ht="13" x14ac:dyDescent="0.15">
      <c r="A499" s="29"/>
      <c r="B499" s="2"/>
      <c r="C499" s="2"/>
      <c r="D499" s="2"/>
      <c r="E499" s="3"/>
      <c r="F499" s="3"/>
      <c r="G499" s="7"/>
      <c r="J499" s="7"/>
      <c r="K499" s="7"/>
      <c r="M499" s="3"/>
      <c r="N499" s="3"/>
    </row>
    <row r="500" spans="1:14" ht="13" x14ac:dyDescent="0.15">
      <c r="A500" s="29"/>
      <c r="B500" s="2"/>
      <c r="C500" s="2"/>
      <c r="D500" s="2"/>
      <c r="E500" s="3"/>
      <c r="F500" s="3"/>
      <c r="G500" s="7"/>
      <c r="J500" s="7"/>
      <c r="K500" s="7"/>
      <c r="M500" s="3"/>
      <c r="N500" s="3"/>
    </row>
    <row r="501" spans="1:14" ht="13" x14ac:dyDescent="0.15">
      <c r="A501" s="29"/>
      <c r="B501" s="2"/>
      <c r="C501" s="2"/>
      <c r="D501" s="2"/>
      <c r="E501" s="3"/>
      <c r="F501" s="3"/>
      <c r="G501" s="7"/>
      <c r="J501" s="7"/>
      <c r="K501" s="7"/>
      <c r="M501" s="3"/>
      <c r="N501" s="3"/>
    </row>
    <row r="502" spans="1:14" ht="13" x14ac:dyDescent="0.15">
      <c r="A502" s="29"/>
      <c r="B502" s="2"/>
      <c r="C502" s="2"/>
      <c r="D502" s="2"/>
      <c r="E502" s="3"/>
      <c r="F502" s="3"/>
      <c r="G502" s="7"/>
      <c r="J502" s="7"/>
      <c r="K502" s="7"/>
      <c r="M502" s="3"/>
      <c r="N502" s="3"/>
    </row>
    <row r="503" spans="1:14" ht="13" x14ac:dyDescent="0.15">
      <c r="A503" s="29"/>
      <c r="B503" s="2"/>
      <c r="C503" s="2"/>
      <c r="D503" s="2"/>
      <c r="E503" s="3"/>
      <c r="F503" s="3"/>
      <c r="G503" s="7"/>
      <c r="J503" s="7"/>
      <c r="K503" s="7"/>
      <c r="M503" s="3"/>
      <c r="N503" s="3"/>
    </row>
    <row r="504" spans="1:14" ht="13" x14ac:dyDescent="0.15">
      <c r="A504" s="29"/>
      <c r="B504" s="2"/>
      <c r="C504" s="2"/>
      <c r="D504" s="2"/>
      <c r="E504" s="3"/>
      <c r="F504" s="3"/>
      <c r="G504" s="7"/>
      <c r="J504" s="7"/>
      <c r="K504" s="7"/>
      <c r="M504" s="3"/>
      <c r="N504" s="3"/>
    </row>
    <row r="505" spans="1:14" ht="13" x14ac:dyDescent="0.15">
      <c r="A505" s="29"/>
      <c r="B505" s="2"/>
      <c r="C505" s="2"/>
      <c r="D505" s="2"/>
      <c r="E505" s="3"/>
      <c r="F505" s="3"/>
      <c r="G505" s="7"/>
      <c r="J505" s="7"/>
      <c r="K505" s="7"/>
      <c r="M505" s="3"/>
      <c r="N505" s="3"/>
    </row>
    <row r="506" spans="1:14" ht="13" x14ac:dyDescent="0.15">
      <c r="A506" s="29"/>
      <c r="B506" s="2"/>
      <c r="C506" s="2"/>
      <c r="D506" s="2"/>
      <c r="E506" s="3"/>
      <c r="F506" s="3"/>
      <c r="G506" s="7"/>
      <c r="J506" s="7"/>
      <c r="K506" s="7"/>
      <c r="M506" s="3"/>
      <c r="N506" s="3"/>
    </row>
    <row r="507" spans="1:14" ht="13" x14ac:dyDescent="0.15">
      <c r="A507" s="29"/>
      <c r="B507" s="2"/>
      <c r="C507" s="2"/>
      <c r="D507" s="2"/>
      <c r="E507" s="3"/>
      <c r="F507" s="3"/>
      <c r="G507" s="7"/>
      <c r="J507" s="7"/>
      <c r="K507" s="7"/>
      <c r="M507" s="3"/>
      <c r="N507" s="3"/>
    </row>
    <row r="508" spans="1:14" ht="13" x14ac:dyDescent="0.15">
      <c r="A508" s="29"/>
      <c r="B508" s="2"/>
      <c r="C508" s="2"/>
      <c r="D508" s="2"/>
      <c r="E508" s="3"/>
      <c r="F508" s="3"/>
      <c r="G508" s="7"/>
      <c r="J508" s="7"/>
      <c r="K508" s="7"/>
      <c r="M508" s="3"/>
      <c r="N508" s="3"/>
    </row>
    <row r="509" spans="1:14" ht="13" x14ac:dyDescent="0.15">
      <c r="A509" s="29"/>
      <c r="B509" s="2"/>
      <c r="C509" s="2"/>
      <c r="D509" s="2"/>
      <c r="E509" s="3"/>
      <c r="F509" s="3"/>
      <c r="G509" s="7"/>
      <c r="J509" s="7"/>
      <c r="K509" s="7"/>
      <c r="M509" s="3"/>
      <c r="N509" s="3"/>
    </row>
    <row r="510" spans="1:14" ht="13" x14ac:dyDescent="0.15">
      <c r="A510" s="29"/>
      <c r="B510" s="2"/>
      <c r="C510" s="2"/>
      <c r="D510" s="2"/>
      <c r="E510" s="3"/>
      <c r="F510" s="3"/>
      <c r="G510" s="7"/>
      <c r="J510" s="7"/>
      <c r="K510" s="7"/>
      <c r="M510" s="3"/>
      <c r="N510" s="3"/>
    </row>
    <row r="511" spans="1:14" ht="13" x14ac:dyDescent="0.15">
      <c r="A511" s="29"/>
      <c r="B511" s="2"/>
      <c r="C511" s="2"/>
      <c r="D511" s="2"/>
      <c r="E511" s="3"/>
      <c r="F511" s="3"/>
      <c r="G511" s="7"/>
      <c r="J511" s="7"/>
      <c r="K511" s="7"/>
      <c r="M511" s="3"/>
      <c r="N511" s="3"/>
    </row>
    <row r="512" spans="1:14" ht="13" x14ac:dyDescent="0.15">
      <c r="A512" s="29"/>
      <c r="B512" s="2"/>
      <c r="C512" s="2"/>
      <c r="D512" s="2"/>
      <c r="E512" s="3"/>
      <c r="F512" s="3"/>
      <c r="G512" s="7"/>
      <c r="J512" s="7"/>
      <c r="K512" s="7"/>
      <c r="M512" s="3"/>
      <c r="N512" s="3"/>
    </row>
    <row r="513" spans="1:14" ht="13" x14ac:dyDescent="0.15">
      <c r="A513" s="29"/>
      <c r="B513" s="2"/>
      <c r="C513" s="2"/>
      <c r="D513" s="2"/>
      <c r="E513" s="3"/>
      <c r="F513" s="3"/>
      <c r="G513" s="7"/>
      <c r="J513" s="7"/>
      <c r="K513" s="7"/>
      <c r="M513" s="3"/>
      <c r="N513" s="3"/>
    </row>
    <row r="514" spans="1:14" ht="13" x14ac:dyDescent="0.15">
      <c r="A514" s="29"/>
      <c r="B514" s="2"/>
      <c r="C514" s="2"/>
      <c r="D514" s="2"/>
      <c r="E514" s="3"/>
      <c r="F514" s="3"/>
      <c r="G514" s="7"/>
      <c r="J514" s="7"/>
      <c r="K514" s="7"/>
      <c r="M514" s="3"/>
      <c r="N514" s="3"/>
    </row>
    <row r="515" spans="1:14" ht="13" x14ac:dyDescent="0.15">
      <c r="A515" s="29"/>
      <c r="B515" s="2"/>
      <c r="C515" s="2"/>
      <c r="D515" s="2"/>
      <c r="E515" s="3"/>
      <c r="F515" s="3"/>
      <c r="G515" s="7"/>
      <c r="J515" s="7"/>
      <c r="K515" s="7"/>
      <c r="M515" s="3"/>
      <c r="N515" s="3"/>
    </row>
    <row r="516" spans="1:14" ht="13" x14ac:dyDescent="0.15">
      <c r="A516" s="29"/>
      <c r="B516" s="2"/>
      <c r="C516" s="2"/>
      <c r="D516" s="2"/>
      <c r="E516" s="3"/>
      <c r="F516" s="3"/>
      <c r="G516" s="7"/>
      <c r="J516" s="7"/>
      <c r="K516" s="7"/>
      <c r="M516" s="3"/>
      <c r="N516" s="3"/>
    </row>
    <row r="517" spans="1:14" ht="13" x14ac:dyDescent="0.15">
      <c r="A517" s="29"/>
      <c r="B517" s="2"/>
      <c r="C517" s="2"/>
      <c r="D517" s="2"/>
      <c r="E517" s="3"/>
      <c r="F517" s="3"/>
      <c r="G517" s="7"/>
      <c r="J517" s="7"/>
      <c r="K517" s="7"/>
      <c r="M517" s="3"/>
      <c r="N517" s="3"/>
    </row>
    <row r="518" spans="1:14" ht="13" x14ac:dyDescent="0.15">
      <c r="A518" s="29"/>
      <c r="B518" s="2"/>
      <c r="C518" s="2"/>
      <c r="D518" s="2"/>
      <c r="E518" s="3"/>
      <c r="F518" s="3"/>
      <c r="G518" s="7"/>
      <c r="J518" s="7"/>
      <c r="K518" s="7"/>
      <c r="M518" s="3"/>
      <c r="N518" s="3"/>
    </row>
    <row r="519" spans="1:14" ht="13" x14ac:dyDescent="0.15">
      <c r="A519" s="29"/>
      <c r="B519" s="2"/>
      <c r="C519" s="2"/>
      <c r="D519" s="2"/>
      <c r="E519" s="3"/>
      <c r="F519" s="3"/>
      <c r="G519" s="7"/>
      <c r="J519" s="7"/>
      <c r="K519" s="7"/>
      <c r="M519" s="3"/>
      <c r="N519" s="3"/>
    </row>
    <row r="520" spans="1:14" ht="13" x14ac:dyDescent="0.15">
      <c r="A520" s="29"/>
      <c r="B520" s="2"/>
      <c r="C520" s="2"/>
      <c r="D520" s="2"/>
      <c r="E520" s="3"/>
      <c r="F520" s="3"/>
      <c r="G520" s="7"/>
      <c r="J520" s="7"/>
      <c r="K520" s="7"/>
      <c r="M520" s="3"/>
      <c r="N520" s="3"/>
    </row>
    <row r="521" spans="1:14" ht="13" x14ac:dyDescent="0.15">
      <c r="A521" s="29"/>
      <c r="B521" s="2"/>
      <c r="C521" s="2"/>
      <c r="D521" s="2"/>
      <c r="E521" s="3"/>
      <c r="F521" s="3"/>
      <c r="G521" s="7"/>
      <c r="J521" s="7"/>
      <c r="K521" s="7"/>
      <c r="M521" s="3"/>
      <c r="N521" s="3"/>
    </row>
    <row r="522" spans="1:14" ht="13" x14ac:dyDescent="0.15">
      <c r="A522" s="29"/>
      <c r="B522" s="2"/>
      <c r="C522" s="2"/>
      <c r="D522" s="2"/>
      <c r="E522" s="3"/>
      <c r="F522" s="3"/>
      <c r="G522" s="7"/>
      <c r="J522" s="7"/>
      <c r="K522" s="7"/>
      <c r="M522" s="3"/>
      <c r="N522" s="3"/>
    </row>
    <row r="523" spans="1:14" ht="13" x14ac:dyDescent="0.15">
      <c r="A523" s="29"/>
      <c r="B523" s="2"/>
      <c r="C523" s="2"/>
      <c r="D523" s="2"/>
      <c r="E523" s="3"/>
      <c r="F523" s="3"/>
      <c r="G523" s="7"/>
      <c r="J523" s="7"/>
      <c r="K523" s="7"/>
      <c r="M523" s="3"/>
      <c r="N523" s="3"/>
    </row>
    <row r="524" spans="1:14" ht="13" x14ac:dyDescent="0.15">
      <c r="A524" s="29"/>
      <c r="B524" s="2"/>
      <c r="C524" s="2"/>
      <c r="D524" s="2"/>
      <c r="E524" s="3"/>
      <c r="F524" s="3"/>
      <c r="G524" s="7"/>
      <c r="J524" s="7"/>
      <c r="K524" s="7"/>
      <c r="M524" s="3"/>
      <c r="N524" s="3"/>
    </row>
    <row r="525" spans="1:14" ht="13" x14ac:dyDescent="0.15">
      <c r="A525" s="29"/>
      <c r="B525" s="2"/>
      <c r="C525" s="2"/>
      <c r="D525" s="2"/>
      <c r="E525" s="3"/>
      <c r="F525" s="3"/>
      <c r="G525" s="7"/>
      <c r="J525" s="7"/>
      <c r="K525" s="7"/>
      <c r="M525" s="3"/>
      <c r="N525" s="3"/>
    </row>
    <row r="526" spans="1:14" ht="13" x14ac:dyDescent="0.15">
      <c r="A526" s="29"/>
      <c r="B526" s="2"/>
      <c r="C526" s="2"/>
      <c r="D526" s="2"/>
      <c r="E526" s="3"/>
      <c r="F526" s="3"/>
      <c r="G526" s="7"/>
      <c r="J526" s="7"/>
      <c r="K526" s="7"/>
      <c r="M526" s="3"/>
      <c r="N526" s="3"/>
    </row>
    <row r="527" spans="1:14" ht="13" x14ac:dyDescent="0.15">
      <c r="A527" s="29"/>
      <c r="B527" s="2"/>
      <c r="C527" s="2"/>
      <c r="D527" s="2"/>
      <c r="E527" s="3"/>
      <c r="F527" s="3"/>
      <c r="G527" s="7"/>
      <c r="J527" s="7"/>
      <c r="K527" s="7"/>
      <c r="M527" s="3"/>
      <c r="N527" s="3"/>
    </row>
    <row r="528" spans="1:14" ht="13" x14ac:dyDescent="0.15">
      <c r="A528" s="29"/>
      <c r="B528" s="2"/>
      <c r="C528" s="2"/>
      <c r="D528" s="2"/>
      <c r="E528" s="3"/>
      <c r="F528" s="3"/>
      <c r="G528" s="7"/>
      <c r="J528" s="7"/>
      <c r="K528" s="7"/>
      <c r="M528" s="3"/>
      <c r="N528" s="3"/>
    </row>
    <row r="529" spans="1:14" ht="13" x14ac:dyDescent="0.15">
      <c r="A529" s="29"/>
      <c r="B529" s="2"/>
      <c r="C529" s="2"/>
      <c r="D529" s="2"/>
      <c r="E529" s="3"/>
      <c r="F529" s="3"/>
      <c r="G529" s="7"/>
      <c r="J529" s="7"/>
      <c r="K529" s="7"/>
      <c r="M529" s="3"/>
      <c r="N529" s="3"/>
    </row>
    <row r="530" spans="1:14" ht="13" x14ac:dyDescent="0.15">
      <c r="A530" s="29"/>
      <c r="B530" s="2"/>
      <c r="C530" s="2"/>
      <c r="D530" s="2"/>
      <c r="E530" s="3"/>
      <c r="F530" s="3"/>
      <c r="G530" s="7"/>
      <c r="J530" s="7"/>
      <c r="K530" s="7"/>
      <c r="M530" s="3"/>
      <c r="N530" s="3"/>
    </row>
    <row r="531" spans="1:14" ht="13" x14ac:dyDescent="0.15">
      <c r="A531" s="29"/>
      <c r="B531" s="2"/>
      <c r="C531" s="2"/>
      <c r="D531" s="2"/>
      <c r="E531" s="3"/>
      <c r="F531" s="3"/>
      <c r="G531" s="7"/>
      <c r="J531" s="7"/>
      <c r="K531" s="7"/>
      <c r="M531" s="3"/>
      <c r="N531" s="3"/>
    </row>
    <row r="532" spans="1:14" ht="13" x14ac:dyDescent="0.15">
      <c r="A532" s="29"/>
      <c r="B532" s="2"/>
      <c r="C532" s="2"/>
      <c r="D532" s="2"/>
      <c r="E532" s="3"/>
      <c r="F532" s="3"/>
      <c r="G532" s="7"/>
      <c r="J532" s="7"/>
      <c r="K532" s="7"/>
      <c r="M532" s="3"/>
      <c r="N532" s="3"/>
    </row>
    <row r="533" spans="1:14" ht="13" x14ac:dyDescent="0.15">
      <c r="A533" s="29"/>
      <c r="B533" s="2"/>
      <c r="C533" s="2"/>
      <c r="D533" s="2"/>
      <c r="E533" s="3"/>
      <c r="F533" s="3"/>
      <c r="G533" s="7"/>
      <c r="J533" s="7"/>
      <c r="K533" s="7"/>
      <c r="M533" s="3"/>
      <c r="N533" s="3"/>
    </row>
    <row r="534" spans="1:14" ht="13" x14ac:dyDescent="0.15">
      <c r="A534" s="29"/>
      <c r="B534" s="2"/>
      <c r="C534" s="2"/>
      <c r="D534" s="2"/>
      <c r="E534" s="3"/>
      <c r="F534" s="3"/>
      <c r="G534" s="7"/>
      <c r="J534" s="7"/>
      <c r="K534" s="7"/>
      <c r="M534" s="3"/>
      <c r="N534" s="3"/>
    </row>
    <row r="535" spans="1:14" ht="13" x14ac:dyDescent="0.15">
      <c r="A535" s="29"/>
      <c r="B535" s="2"/>
      <c r="C535" s="2"/>
      <c r="D535" s="2"/>
      <c r="E535" s="3"/>
      <c r="F535" s="3"/>
      <c r="G535" s="7"/>
      <c r="J535" s="7"/>
      <c r="K535" s="7"/>
      <c r="M535" s="3"/>
      <c r="N535" s="3"/>
    </row>
    <row r="536" spans="1:14" ht="13" x14ac:dyDescent="0.15">
      <c r="A536" s="29"/>
      <c r="B536" s="2"/>
      <c r="C536" s="2"/>
      <c r="D536" s="2"/>
      <c r="E536" s="3"/>
      <c r="F536" s="3"/>
      <c r="G536" s="7"/>
      <c r="J536" s="7"/>
      <c r="K536" s="7"/>
      <c r="M536" s="3"/>
      <c r="N536" s="3"/>
    </row>
    <row r="537" spans="1:14" ht="13" x14ac:dyDescent="0.15">
      <c r="A537" s="29"/>
      <c r="B537" s="2"/>
      <c r="C537" s="2"/>
      <c r="D537" s="2"/>
      <c r="E537" s="3"/>
      <c r="F537" s="3"/>
      <c r="G537" s="7"/>
      <c r="J537" s="7"/>
      <c r="K537" s="7"/>
      <c r="M537" s="3"/>
      <c r="N537" s="3"/>
    </row>
    <row r="538" spans="1:14" ht="13" x14ac:dyDescent="0.15">
      <c r="A538" s="29"/>
      <c r="B538" s="2"/>
      <c r="C538" s="2"/>
      <c r="D538" s="2"/>
      <c r="E538" s="3"/>
      <c r="F538" s="3"/>
      <c r="G538" s="7"/>
      <c r="J538" s="7"/>
      <c r="K538" s="7"/>
      <c r="M538" s="3"/>
      <c r="N538" s="3"/>
    </row>
    <row r="539" spans="1:14" ht="13" x14ac:dyDescent="0.15">
      <c r="A539" s="29"/>
      <c r="B539" s="2"/>
      <c r="C539" s="2"/>
      <c r="D539" s="2"/>
      <c r="E539" s="3"/>
      <c r="F539" s="3"/>
      <c r="G539" s="7"/>
      <c r="J539" s="7"/>
      <c r="K539" s="7"/>
      <c r="M539" s="3"/>
      <c r="N539" s="3"/>
    </row>
    <row r="540" spans="1:14" ht="13" x14ac:dyDescent="0.15">
      <c r="A540" s="29"/>
      <c r="B540" s="2"/>
      <c r="C540" s="2"/>
      <c r="D540" s="2"/>
      <c r="E540" s="3"/>
      <c r="F540" s="3"/>
      <c r="G540" s="7"/>
      <c r="J540" s="7"/>
      <c r="K540" s="7"/>
      <c r="M540" s="3"/>
      <c r="N540" s="3"/>
    </row>
    <row r="541" spans="1:14" ht="13" x14ac:dyDescent="0.15">
      <c r="A541" s="29"/>
      <c r="B541" s="2"/>
      <c r="C541" s="2"/>
      <c r="D541" s="2"/>
      <c r="E541" s="3"/>
      <c r="F541" s="3"/>
      <c r="G541" s="7"/>
      <c r="J541" s="7"/>
      <c r="K541" s="7"/>
      <c r="M541" s="3"/>
      <c r="N541" s="3"/>
    </row>
    <row r="542" spans="1:14" ht="13" x14ac:dyDescent="0.15">
      <c r="A542" s="29"/>
      <c r="B542" s="2"/>
      <c r="C542" s="2"/>
      <c r="D542" s="2"/>
      <c r="E542" s="3"/>
      <c r="F542" s="3"/>
      <c r="G542" s="7"/>
      <c r="J542" s="7"/>
      <c r="K542" s="7"/>
      <c r="M542" s="3"/>
      <c r="N542" s="3"/>
    </row>
    <row r="543" spans="1:14" ht="13" x14ac:dyDescent="0.15">
      <c r="A543" s="29"/>
      <c r="B543" s="2"/>
      <c r="C543" s="2"/>
      <c r="D543" s="2"/>
      <c r="E543" s="3"/>
      <c r="F543" s="3"/>
      <c r="G543" s="7"/>
      <c r="J543" s="7"/>
      <c r="K543" s="7"/>
      <c r="M543" s="3"/>
      <c r="N543" s="3"/>
    </row>
    <row r="544" spans="1:14" ht="13" x14ac:dyDescent="0.15">
      <c r="A544" s="29"/>
      <c r="B544" s="2"/>
      <c r="C544" s="2"/>
      <c r="D544" s="2"/>
      <c r="E544" s="3"/>
      <c r="F544" s="3"/>
      <c r="G544" s="7"/>
      <c r="J544" s="7"/>
      <c r="K544" s="7"/>
      <c r="M544" s="3"/>
      <c r="N544" s="3"/>
    </row>
    <row r="545" spans="1:14" ht="13" x14ac:dyDescent="0.15">
      <c r="A545" s="29"/>
      <c r="B545" s="2"/>
      <c r="C545" s="2"/>
      <c r="D545" s="2"/>
      <c r="E545" s="3"/>
      <c r="F545" s="3"/>
      <c r="G545" s="7"/>
      <c r="J545" s="7"/>
      <c r="K545" s="7"/>
      <c r="M545" s="3"/>
      <c r="N545" s="3"/>
    </row>
    <row r="546" spans="1:14" ht="13" x14ac:dyDescent="0.15">
      <c r="A546" s="29"/>
      <c r="B546" s="2"/>
      <c r="C546" s="2"/>
      <c r="D546" s="2"/>
      <c r="E546" s="3"/>
      <c r="F546" s="3"/>
      <c r="G546" s="7"/>
      <c r="J546" s="7"/>
      <c r="K546" s="7"/>
      <c r="M546" s="3"/>
      <c r="N546" s="3"/>
    </row>
    <row r="547" spans="1:14" ht="13" x14ac:dyDescent="0.15">
      <c r="A547" s="29"/>
      <c r="B547" s="2"/>
      <c r="C547" s="2"/>
      <c r="D547" s="2"/>
      <c r="E547" s="3"/>
      <c r="F547" s="3"/>
      <c r="G547" s="7"/>
      <c r="J547" s="7"/>
      <c r="K547" s="7"/>
      <c r="M547" s="3"/>
      <c r="N547" s="3"/>
    </row>
    <row r="548" spans="1:14" ht="13" x14ac:dyDescent="0.15">
      <c r="A548" s="29"/>
      <c r="B548" s="2"/>
      <c r="C548" s="2"/>
      <c r="D548" s="2"/>
      <c r="E548" s="3"/>
      <c r="F548" s="3"/>
      <c r="G548" s="7"/>
      <c r="J548" s="7"/>
      <c r="K548" s="7"/>
      <c r="M548" s="3"/>
      <c r="N548" s="3"/>
    </row>
    <row r="549" spans="1:14" ht="13" x14ac:dyDescent="0.15">
      <c r="A549" s="29"/>
      <c r="B549" s="2"/>
      <c r="C549" s="2"/>
      <c r="D549" s="2"/>
      <c r="E549" s="3"/>
      <c r="F549" s="3"/>
      <c r="G549" s="7"/>
      <c r="J549" s="7"/>
      <c r="K549" s="7"/>
      <c r="M549" s="3"/>
      <c r="N549" s="3"/>
    </row>
    <row r="550" spans="1:14" ht="13" x14ac:dyDescent="0.15">
      <c r="A550" s="29"/>
      <c r="B550" s="2"/>
      <c r="C550" s="2"/>
      <c r="D550" s="2"/>
      <c r="E550" s="3"/>
      <c r="F550" s="3"/>
      <c r="G550" s="7"/>
      <c r="J550" s="7"/>
      <c r="K550" s="7"/>
      <c r="M550" s="3"/>
      <c r="N550" s="3"/>
    </row>
    <row r="551" spans="1:14" ht="13" x14ac:dyDescent="0.15">
      <c r="A551" s="29"/>
      <c r="B551" s="2"/>
      <c r="C551" s="2"/>
      <c r="D551" s="2"/>
      <c r="E551" s="3"/>
      <c r="F551" s="3"/>
      <c r="G551" s="7"/>
      <c r="J551" s="7"/>
      <c r="K551" s="7"/>
      <c r="M551" s="3"/>
      <c r="N551" s="3"/>
    </row>
    <row r="552" spans="1:14" ht="13" x14ac:dyDescent="0.15">
      <c r="A552" s="29"/>
      <c r="B552" s="2"/>
      <c r="C552" s="2"/>
      <c r="D552" s="2"/>
      <c r="E552" s="3"/>
      <c r="F552" s="3"/>
      <c r="G552" s="7"/>
      <c r="J552" s="7"/>
      <c r="K552" s="7"/>
      <c r="M552" s="3"/>
      <c r="N552" s="3"/>
    </row>
    <row r="553" spans="1:14" ht="13" x14ac:dyDescent="0.15">
      <c r="A553" s="29"/>
      <c r="B553" s="2"/>
      <c r="C553" s="2"/>
      <c r="D553" s="2"/>
      <c r="E553" s="3"/>
      <c r="F553" s="3"/>
      <c r="G553" s="7"/>
      <c r="J553" s="7"/>
      <c r="K553" s="7"/>
      <c r="M553" s="3"/>
      <c r="N553" s="3"/>
    </row>
    <row r="554" spans="1:14" ht="13" x14ac:dyDescent="0.15">
      <c r="A554" s="29"/>
      <c r="B554" s="2"/>
      <c r="C554" s="2"/>
      <c r="D554" s="2"/>
      <c r="E554" s="3"/>
      <c r="F554" s="3"/>
      <c r="G554" s="7"/>
      <c r="J554" s="7"/>
      <c r="K554" s="7"/>
      <c r="M554" s="3"/>
      <c r="N554" s="3"/>
    </row>
    <row r="555" spans="1:14" ht="13" x14ac:dyDescent="0.15">
      <c r="A555" s="29"/>
      <c r="B555" s="2"/>
      <c r="C555" s="2"/>
      <c r="D555" s="2"/>
      <c r="E555" s="3"/>
      <c r="F555" s="3"/>
      <c r="G555" s="7"/>
      <c r="J555" s="7"/>
      <c r="K555" s="7"/>
      <c r="M555" s="3"/>
      <c r="N555" s="3"/>
    </row>
    <row r="556" spans="1:14" ht="13" x14ac:dyDescent="0.15">
      <c r="A556" s="29"/>
      <c r="B556" s="2"/>
      <c r="C556" s="2"/>
      <c r="D556" s="2"/>
      <c r="E556" s="3"/>
      <c r="F556" s="3"/>
      <c r="G556" s="7"/>
      <c r="J556" s="7"/>
      <c r="K556" s="7"/>
      <c r="M556" s="3"/>
      <c r="N556" s="3"/>
    </row>
    <row r="557" spans="1:14" ht="13" x14ac:dyDescent="0.15">
      <c r="A557" s="29"/>
      <c r="B557" s="2"/>
      <c r="C557" s="2"/>
      <c r="D557" s="2"/>
      <c r="E557" s="3"/>
      <c r="F557" s="3"/>
      <c r="G557" s="7"/>
      <c r="J557" s="7"/>
      <c r="K557" s="7"/>
      <c r="M557" s="3"/>
      <c r="N557" s="3"/>
    </row>
    <row r="558" spans="1:14" ht="13" x14ac:dyDescent="0.15">
      <c r="A558" s="29"/>
      <c r="B558" s="2"/>
      <c r="C558" s="2"/>
      <c r="D558" s="2"/>
      <c r="E558" s="3"/>
      <c r="F558" s="3"/>
      <c r="G558" s="7"/>
      <c r="J558" s="7"/>
      <c r="K558" s="7"/>
      <c r="M558" s="3"/>
      <c r="N558" s="3"/>
    </row>
    <row r="559" spans="1:14" ht="13" x14ac:dyDescent="0.15">
      <c r="A559" s="29"/>
      <c r="B559" s="2"/>
      <c r="C559" s="2"/>
      <c r="D559" s="2"/>
      <c r="E559" s="3"/>
      <c r="F559" s="3"/>
      <c r="G559" s="7"/>
      <c r="J559" s="7"/>
      <c r="K559" s="7"/>
      <c r="M559" s="3"/>
      <c r="N559" s="3"/>
    </row>
    <row r="560" spans="1:14" ht="13" x14ac:dyDescent="0.15">
      <c r="A560" s="29"/>
      <c r="B560" s="2"/>
      <c r="C560" s="2"/>
      <c r="D560" s="2"/>
      <c r="E560" s="3"/>
      <c r="F560" s="3"/>
      <c r="G560" s="7"/>
      <c r="J560" s="7"/>
      <c r="K560" s="7"/>
      <c r="M560" s="3"/>
      <c r="N560" s="3"/>
    </row>
    <row r="561" spans="1:14" ht="13" x14ac:dyDescent="0.15">
      <c r="A561" s="29"/>
      <c r="B561" s="2"/>
      <c r="C561" s="2"/>
      <c r="D561" s="2"/>
      <c r="E561" s="3"/>
      <c r="F561" s="3"/>
      <c r="G561" s="7"/>
      <c r="J561" s="7"/>
      <c r="K561" s="7"/>
      <c r="M561" s="3"/>
      <c r="N561" s="3"/>
    </row>
    <row r="562" spans="1:14" ht="13" x14ac:dyDescent="0.15">
      <c r="A562" s="29"/>
      <c r="B562" s="2"/>
      <c r="C562" s="2"/>
      <c r="D562" s="2"/>
      <c r="E562" s="3"/>
      <c r="F562" s="3"/>
      <c r="G562" s="7"/>
      <c r="J562" s="7"/>
      <c r="K562" s="7"/>
      <c r="M562" s="3"/>
      <c r="N562" s="3"/>
    </row>
    <row r="563" spans="1:14" ht="13" x14ac:dyDescent="0.15">
      <c r="A563" s="29"/>
      <c r="B563" s="2"/>
      <c r="C563" s="2"/>
      <c r="D563" s="2"/>
      <c r="E563" s="3"/>
      <c r="F563" s="3"/>
      <c r="G563" s="7"/>
      <c r="J563" s="7"/>
      <c r="K563" s="7"/>
      <c r="M563" s="3"/>
      <c r="N563" s="3"/>
    </row>
    <row r="564" spans="1:14" ht="13" x14ac:dyDescent="0.15">
      <c r="A564" s="29"/>
      <c r="B564" s="2"/>
      <c r="C564" s="2"/>
      <c r="D564" s="2"/>
      <c r="E564" s="3"/>
      <c r="F564" s="3"/>
      <c r="G564" s="7"/>
      <c r="J564" s="7"/>
      <c r="K564" s="7"/>
      <c r="M564" s="3"/>
      <c r="N564" s="3"/>
    </row>
    <row r="565" spans="1:14" ht="13" x14ac:dyDescent="0.15">
      <c r="A565" s="29"/>
      <c r="B565" s="2"/>
      <c r="C565" s="2"/>
      <c r="D565" s="2"/>
      <c r="E565" s="3"/>
      <c r="F565" s="3"/>
      <c r="G565" s="7"/>
      <c r="J565" s="7"/>
      <c r="K565" s="7"/>
      <c r="M565" s="3"/>
      <c r="N565" s="3"/>
    </row>
    <row r="566" spans="1:14" ht="13" x14ac:dyDescent="0.15">
      <c r="A566" s="29"/>
      <c r="B566" s="2"/>
      <c r="C566" s="2"/>
      <c r="D566" s="2"/>
      <c r="E566" s="3"/>
      <c r="F566" s="3"/>
      <c r="G566" s="7"/>
      <c r="J566" s="7"/>
      <c r="K566" s="7"/>
      <c r="M566" s="3"/>
      <c r="N566" s="3"/>
    </row>
    <row r="567" spans="1:14" ht="13" x14ac:dyDescent="0.15">
      <c r="A567" s="29"/>
      <c r="B567" s="2"/>
      <c r="C567" s="2"/>
      <c r="D567" s="2"/>
      <c r="E567" s="3"/>
      <c r="F567" s="3"/>
      <c r="G567" s="7"/>
      <c r="J567" s="7"/>
      <c r="K567" s="7"/>
      <c r="M567" s="3"/>
      <c r="N567" s="3"/>
    </row>
    <row r="568" spans="1:14" ht="13" x14ac:dyDescent="0.15">
      <c r="A568" s="29"/>
      <c r="B568" s="2"/>
      <c r="C568" s="2"/>
      <c r="D568" s="2"/>
      <c r="E568" s="3"/>
      <c r="F568" s="3"/>
      <c r="G568" s="7"/>
      <c r="J568" s="7"/>
      <c r="K568" s="7"/>
      <c r="M568" s="3"/>
      <c r="N568" s="3"/>
    </row>
    <row r="569" spans="1:14" ht="13" x14ac:dyDescent="0.15">
      <c r="A569" s="29"/>
      <c r="B569" s="2"/>
      <c r="C569" s="2"/>
      <c r="D569" s="2"/>
      <c r="E569" s="3"/>
      <c r="F569" s="3"/>
      <c r="G569" s="7"/>
      <c r="J569" s="7"/>
      <c r="K569" s="7"/>
      <c r="M569" s="3"/>
      <c r="N569" s="3"/>
    </row>
    <row r="570" spans="1:14" ht="13" x14ac:dyDescent="0.15">
      <c r="A570" s="29"/>
      <c r="B570" s="2"/>
      <c r="C570" s="2"/>
      <c r="D570" s="2"/>
      <c r="E570" s="3"/>
      <c r="F570" s="3"/>
      <c r="G570" s="7"/>
      <c r="J570" s="7"/>
      <c r="K570" s="7"/>
      <c r="M570" s="3"/>
      <c r="N570" s="3"/>
    </row>
    <row r="571" spans="1:14" ht="13" x14ac:dyDescent="0.15">
      <c r="A571" s="29"/>
      <c r="B571" s="2"/>
      <c r="C571" s="2"/>
      <c r="D571" s="2"/>
      <c r="E571" s="3"/>
      <c r="F571" s="3"/>
      <c r="G571" s="7"/>
      <c r="J571" s="7"/>
      <c r="K571" s="7"/>
      <c r="M571" s="3"/>
      <c r="N571" s="3"/>
    </row>
    <row r="572" spans="1:14" ht="13" x14ac:dyDescent="0.15">
      <c r="A572" s="29"/>
      <c r="B572" s="2"/>
      <c r="C572" s="2"/>
      <c r="D572" s="2"/>
      <c r="E572" s="3"/>
      <c r="F572" s="3"/>
      <c r="G572" s="7"/>
      <c r="J572" s="7"/>
      <c r="K572" s="7"/>
      <c r="M572" s="3"/>
      <c r="N572" s="3"/>
    </row>
    <row r="573" spans="1:14" ht="13" x14ac:dyDescent="0.15">
      <c r="A573" s="29"/>
      <c r="B573" s="2"/>
      <c r="C573" s="2"/>
      <c r="D573" s="2"/>
      <c r="E573" s="3"/>
      <c r="F573" s="3"/>
      <c r="G573" s="7"/>
      <c r="J573" s="7"/>
      <c r="K573" s="7"/>
      <c r="M573" s="3"/>
      <c r="N573" s="3"/>
    </row>
    <row r="574" spans="1:14" ht="13" x14ac:dyDescent="0.15">
      <c r="A574" s="29"/>
      <c r="B574" s="2"/>
      <c r="C574" s="2"/>
      <c r="D574" s="2"/>
      <c r="E574" s="3"/>
      <c r="F574" s="3"/>
      <c r="G574" s="7"/>
      <c r="J574" s="7"/>
      <c r="K574" s="7"/>
      <c r="M574" s="3"/>
      <c r="N574" s="3"/>
    </row>
    <row r="575" spans="1:14" ht="13" x14ac:dyDescent="0.15">
      <c r="A575" s="29"/>
      <c r="B575" s="2"/>
      <c r="C575" s="2"/>
      <c r="D575" s="2"/>
      <c r="E575" s="3"/>
      <c r="F575" s="3"/>
      <c r="G575" s="7"/>
      <c r="J575" s="7"/>
      <c r="K575" s="7"/>
      <c r="M575" s="3"/>
      <c r="N575" s="3"/>
    </row>
    <row r="576" spans="1:14" ht="13" x14ac:dyDescent="0.15">
      <c r="A576" s="29"/>
      <c r="B576" s="2"/>
      <c r="C576" s="2"/>
      <c r="D576" s="2"/>
      <c r="E576" s="3"/>
      <c r="F576" s="3"/>
      <c r="G576" s="7"/>
      <c r="J576" s="7"/>
      <c r="K576" s="7"/>
      <c r="M576" s="3"/>
      <c r="N576" s="3"/>
    </row>
    <row r="577" spans="1:14" ht="13" x14ac:dyDescent="0.15">
      <c r="A577" s="29"/>
      <c r="B577" s="2"/>
      <c r="C577" s="2"/>
      <c r="D577" s="2"/>
      <c r="E577" s="3"/>
      <c r="F577" s="3"/>
      <c r="G577" s="7"/>
      <c r="J577" s="7"/>
      <c r="K577" s="7"/>
      <c r="M577" s="3"/>
      <c r="N577" s="3"/>
    </row>
    <row r="578" spans="1:14" ht="13" x14ac:dyDescent="0.15">
      <c r="A578" s="29"/>
      <c r="B578" s="2"/>
      <c r="C578" s="2"/>
      <c r="D578" s="2"/>
      <c r="E578" s="3"/>
      <c r="F578" s="3"/>
      <c r="G578" s="7"/>
      <c r="J578" s="7"/>
      <c r="K578" s="7"/>
      <c r="M578" s="3"/>
      <c r="N578" s="3"/>
    </row>
    <row r="579" spans="1:14" ht="13" x14ac:dyDescent="0.15">
      <c r="A579" s="29"/>
      <c r="B579" s="2"/>
      <c r="C579" s="2"/>
      <c r="D579" s="2"/>
      <c r="E579" s="3"/>
      <c r="F579" s="3"/>
      <c r="G579" s="7"/>
      <c r="J579" s="7"/>
      <c r="K579" s="7"/>
      <c r="M579" s="3"/>
      <c r="N579" s="3"/>
    </row>
    <row r="580" spans="1:14" ht="13" x14ac:dyDescent="0.15">
      <c r="A580" s="29"/>
      <c r="B580" s="2"/>
      <c r="C580" s="2"/>
      <c r="D580" s="2"/>
      <c r="E580" s="3"/>
      <c r="F580" s="3"/>
      <c r="G580" s="7"/>
      <c r="J580" s="7"/>
      <c r="K580" s="7"/>
      <c r="M580" s="3"/>
      <c r="N580" s="3"/>
    </row>
    <row r="581" spans="1:14" ht="13" x14ac:dyDescent="0.15">
      <c r="A581" s="29"/>
      <c r="B581" s="2"/>
      <c r="C581" s="2"/>
      <c r="D581" s="2"/>
      <c r="E581" s="3"/>
      <c r="F581" s="3"/>
      <c r="G581" s="7"/>
      <c r="J581" s="7"/>
      <c r="K581" s="7"/>
      <c r="M581" s="3"/>
      <c r="N581" s="3"/>
    </row>
    <row r="582" spans="1:14" ht="13" x14ac:dyDescent="0.15">
      <c r="A582" s="29"/>
      <c r="B582" s="2"/>
      <c r="C582" s="2"/>
      <c r="D582" s="2"/>
      <c r="E582" s="3"/>
      <c r="F582" s="3"/>
      <c r="G582" s="7"/>
      <c r="J582" s="7"/>
      <c r="K582" s="7"/>
      <c r="M582" s="3"/>
      <c r="N582" s="3"/>
    </row>
    <row r="583" spans="1:14" ht="13" x14ac:dyDescent="0.15">
      <c r="A583" s="29"/>
      <c r="B583" s="2"/>
      <c r="C583" s="2"/>
      <c r="D583" s="2"/>
      <c r="E583" s="3"/>
      <c r="F583" s="3"/>
      <c r="G583" s="7"/>
      <c r="J583" s="7"/>
      <c r="K583" s="7"/>
      <c r="M583" s="3"/>
      <c r="N583" s="3"/>
    </row>
    <row r="584" spans="1:14" ht="13" x14ac:dyDescent="0.15">
      <c r="A584" s="29"/>
      <c r="B584" s="2"/>
      <c r="C584" s="2"/>
      <c r="D584" s="2"/>
      <c r="E584" s="3"/>
      <c r="F584" s="3"/>
      <c r="G584" s="7"/>
      <c r="J584" s="7"/>
      <c r="K584" s="7"/>
      <c r="M584" s="3"/>
      <c r="N584" s="3"/>
    </row>
    <row r="585" spans="1:14" ht="13" x14ac:dyDescent="0.15">
      <c r="A585" s="29"/>
      <c r="B585" s="2"/>
      <c r="C585" s="2"/>
      <c r="D585" s="2"/>
      <c r="E585" s="3"/>
      <c r="F585" s="3"/>
      <c r="G585" s="7"/>
      <c r="J585" s="7"/>
      <c r="K585" s="7"/>
      <c r="M585" s="3"/>
      <c r="N585" s="3"/>
    </row>
    <row r="586" spans="1:14" ht="13" x14ac:dyDescent="0.15">
      <c r="A586" s="29"/>
      <c r="B586" s="2"/>
      <c r="C586" s="2"/>
      <c r="D586" s="2"/>
      <c r="E586" s="3"/>
      <c r="F586" s="3"/>
      <c r="G586" s="7"/>
      <c r="J586" s="7"/>
      <c r="K586" s="7"/>
      <c r="M586" s="3"/>
      <c r="N586" s="3"/>
    </row>
    <row r="587" spans="1:14" ht="13" x14ac:dyDescent="0.15">
      <c r="A587" s="29"/>
      <c r="B587" s="2"/>
      <c r="C587" s="2"/>
      <c r="D587" s="2"/>
      <c r="E587" s="3"/>
      <c r="F587" s="3"/>
      <c r="G587" s="7"/>
      <c r="J587" s="7"/>
      <c r="K587" s="7"/>
      <c r="M587" s="3"/>
      <c r="N587" s="3"/>
    </row>
    <row r="588" spans="1:14" ht="13" x14ac:dyDescent="0.15">
      <c r="A588" s="29"/>
      <c r="B588" s="2"/>
      <c r="C588" s="2"/>
      <c r="D588" s="2"/>
      <c r="E588" s="3"/>
      <c r="F588" s="3"/>
      <c r="G588" s="7"/>
      <c r="J588" s="7"/>
      <c r="K588" s="7"/>
      <c r="M588" s="3"/>
      <c r="N588" s="3"/>
    </row>
    <row r="589" spans="1:14" ht="13" x14ac:dyDescent="0.15">
      <c r="A589" s="29"/>
      <c r="B589" s="2"/>
      <c r="C589" s="2"/>
      <c r="D589" s="2"/>
      <c r="E589" s="3"/>
      <c r="F589" s="3"/>
      <c r="G589" s="7"/>
      <c r="J589" s="7"/>
      <c r="K589" s="7"/>
      <c r="M589" s="3"/>
      <c r="N589" s="3"/>
    </row>
    <row r="590" spans="1:14" ht="13" x14ac:dyDescent="0.15">
      <c r="A590" s="29"/>
      <c r="B590" s="2"/>
      <c r="C590" s="2"/>
      <c r="D590" s="2"/>
      <c r="E590" s="3"/>
      <c r="F590" s="3"/>
      <c r="G590" s="7"/>
      <c r="J590" s="7"/>
      <c r="K590" s="7"/>
      <c r="M590" s="3"/>
      <c r="N590" s="3"/>
    </row>
    <row r="591" spans="1:14" ht="13" x14ac:dyDescent="0.15">
      <c r="A591" s="29"/>
      <c r="B591" s="2"/>
      <c r="C591" s="2"/>
      <c r="D591" s="2"/>
      <c r="E591" s="3"/>
      <c r="F591" s="3"/>
      <c r="G591" s="7"/>
      <c r="J591" s="7"/>
      <c r="K591" s="7"/>
      <c r="M591" s="3"/>
      <c r="N591" s="3"/>
    </row>
    <row r="592" spans="1:14" ht="13" x14ac:dyDescent="0.15">
      <c r="A592" s="29"/>
      <c r="B592" s="2"/>
      <c r="C592" s="2"/>
      <c r="D592" s="2"/>
      <c r="E592" s="3"/>
      <c r="F592" s="3"/>
      <c r="G592" s="7"/>
      <c r="J592" s="7"/>
      <c r="K592" s="7"/>
      <c r="M592" s="3"/>
      <c r="N592" s="3"/>
    </row>
    <row r="593" spans="1:14" ht="13" x14ac:dyDescent="0.15">
      <c r="A593" s="29"/>
      <c r="B593" s="2"/>
      <c r="C593" s="2"/>
      <c r="D593" s="2"/>
      <c r="E593" s="3"/>
      <c r="F593" s="3"/>
      <c r="G593" s="7"/>
      <c r="J593" s="7"/>
      <c r="K593" s="7"/>
      <c r="M593" s="3"/>
      <c r="N593" s="3"/>
    </row>
    <row r="594" spans="1:14" ht="13" x14ac:dyDescent="0.15">
      <c r="A594" s="29"/>
      <c r="B594" s="2"/>
      <c r="C594" s="2"/>
      <c r="D594" s="2"/>
      <c r="E594" s="3"/>
      <c r="F594" s="3"/>
      <c r="G594" s="7"/>
      <c r="J594" s="7"/>
      <c r="K594" s="7"/>
      <c r="M594" s="3"/>
      <c r="N594" s="3"/>
    </row>
    <row r="595" spans="1:14" ht="13" x14ac:dyDescent="0.15">
      <c r="A595" s="29"/>
      <c r="B595" s="2"/>
      <c r="C595" s="2"/>
      <c r="D595" s="2"/>
      <c r="E595" s="3"/>
      <c r="F595" s="3"/>
      <c r="G595" s="7"/>
      <c r="J595" s="7"/>
      <c r="K595" s="7"/>
      <c r="M595" s="3"/>
      <c r="N595" s="3"/>
    </row>
    <row r="596" spans="1:14" ht="13" x14ac:dyDescent="0.15">
      <c r="A596" s="29"/>
      <c r="B596" s="2"/>
      <c r="C596" s="2"/>
      <c r="D596" s="2"/>
      <c r="E596" s="3"/>
      <c r="F596" s="3"/>
      <c r="G596" s="7"/>
      <c r="J596" s="7"/>
      <c r="K596" s="7"/>
      <c r="M596" s="3"/>
      <c r="N596" s="3"/>
    </row>
    <row r="597" spans="1:14" ht="13" x14ac:dyDescent="0.15">
      <c r="A597" s="29"/>
      <c r="B597" s="2"/>
      <c r="C597" s="2"/>
      <c r="D597" s="2"/>
      <c r="E597" s="3"/>
      <c r="F597" s="3"/>
      <c r="G597" s="7"/>
      <c r="J597" s="7"/>
      <c r="K597" s="7"/>
      <c r="M597" s="3"/>
      <c r="N597" s="3"/>
    </row>
    <row r="598" spans="1:14" ht="13" x14ac:dyDescent="0.15">
      <c r="A598" s="29"/>
      <c r="B598" s="2"/>
      <c r="C598" s="2"/>
      <c r="D598" s="2"/>
      <c r="E598" s="3"/>
      <c r="F598" s="3"/>
      <c r="G598" s="7"/>
      <c r="J598" s="7"/>
      <c r="K598" s="7"/>
      <c r="M598" s="3"/>
      <c r="N598" s="3"/>
    </row>
    <row r="599" spans="1:14" ht="13" x14ac:dyDescent="0.15">
      <c r="A599" s="29"/>
      <c r="B599" s="2"/>
      <c r="C599" s="2"/>
      <c r="D599" s="2"/>
      <c r="E599" s="3"/>
      <c r="F599" s="3"/>
      <c r="G599" s="7"/>
      <c r="J599" s="7"/>
      <c r="K599" s="7"/>
      <c r="M599" s="3"/>
      <c r="N599" s="3"/>
    </row>
    <row r="600" spans="1:14" ht="13" x14ac:dyDescent="0.15">
      <c r="A600" s="29"/>
      <c r="B600" s="2"/>
      <c r="C600" s="2"/>
      <c r="D600" s="2"/>
      <c r="E600" s="3"/>
      <c r="F600" s="3"/>
      <c r="G600" s="7"/>
      <c r="J600" s="7"/>
      <c r="K600" s="7"/>
      <c r="M600" s="3"/>
      <c r="N600" s="3"/>
    </row>
    <row r="601" spans="1:14" ht="13" x14ac:dyDescent="0.15">
      <c r="A601" s="29"/>
      <c r="B601" s="2"/>
      <c r="C601" s="2"/>
      <c r="D601" s="2"/>
      <c r="E601" s="3"/>
      <c r="F601" s="3"/>
      <c r="G601" s="7"/>
      <c r="J601" s="7"/>
      <c r="K601" s="7"/>
      <c r="M601" s="3"/>
      <c r="N601" s="3"/>
    </row>
    <row r="602" spans="1:14" ht="13" x14ac:dyDescent="0.15">
      <c r="A602" s="29"/>
      <c r="B602" s="2"/>
      <c r="C602" s="2"/>
      <c r="D602" s="2"/>
      <c r="E602" s="3"/>
      <c r="F602" s="3"/>
      <c r="G602" s="7"/>
      <c r="J602" s="7"/>
      <c r="K602" s="7"/>
      <c r="M602" s="3"/>
      <c r="N602" s="3"/>
    </row>
    <row r="603" spans="1:14" ht="13" x14ac:dyDescent="0.15">
      <c r="A603" s="29"/>
      <c r="B603" s="2"/>
      <c r="C603" s="2"/>
      <c r="D603" s="2"/>
      <c r="E603" s="3"/>
      <c r="F603" s="3"/>
      <c r="G603" s="7"/>
      <c r="J603" s="7"/>
      <c r="K603" s="7"/>
      <c r="M603" s="3"/>
      <c r="N603" s="3"/>
    </row>
    <row r="604" spans="1:14" ht="13" x14ac:dyDescent="0.15">
      <c r="A604" s="29"/>
      <c r="B604" s="2"/>
      <c r="C604" s="2"/>
      <c r="D604" s="2"/>
      <c r="E604" s="3"/>
      <c r="F604" s="3"/>
      <c r="G604" s="7"/>
      <c r="J604" s="7"/>
      <c r="K604" s="7"/>
      <c r="M604" s="3"/>
      <c r="N604" s="3"/>
    </row>
    <row r="605" spans="1:14" ht="13" x14ac:dyDescent="0.15">
      <c r="A605" s="29"/>
      <c r="B605" s="2"/>
      <c r="C605" s="2"/>
      <c r="D605" s="2"/>
      <c r="E605" s="3"/>
      <c r="F605" s="3"/>
      <c r="G605" s="7"/>
      <c r="J605" s="7"/>
      <c r="K605" s="7"/>
      <c r="M605" s="3"/>
      <c r="N605" s="3"/>
    </row>
    <row r="606" spans="1:14" ht="13" x14ac:dyDescent="0.15">
      <c r="A606" s="29"/>
      <c r="B606" s="2"/>
      <c r="C606" s="2"/>
      <c r="D606" s="2"/>
      <c r="E606" s="3"/>
      <c r="F606" s="3"/>
      <c r="G606" s="7"/>
      <c r="J606" s="7"/>
      <c r="K606" s="7"/>
      <c r="M606" s="3"/>
      <c r="N606" s="3"/>
    </row>
    <row r="607" spans="1:14" ht="13" x14ac:dyDescent="0.15">
      <c r="A607" s="29"/>
      <c r="B607" s="2"/>
      <c r="C607" s="2"/>
      <c r="D607" s="2"/>
      <c r="E607" s="3"/>
      <c r="F607" s="3"/>
      <c r="G607" s="7"/>
      <c r="J607" s="7"/>
      <c r="K607" s="7"/>
      <c r="M607" s="3"/>
      <c r="N607" s="3"/>
    </row>
    <row r="608" spans="1:14" ht="13" x14ac:dyDescent="0.15">
      <c r="A608" s="29"/>
      <c r="B608" s="2"/>
      <c r="C608" s="2"/>
      <c r="D608" s="2"/>
      <c r="E608" s="3"/>
      <c r="F608" s="3"/>
      <c r="G608" s="7"/>
      <c r="J608" s="7"/>
      <c r="K608" s="7"/>
      <c r="M608" s="3"/>
      <c r="N608" s="3"/>
    </row>
    <row r="609" spans="1:14" ht="13" x14ac:dyDescent="0.15">
      <c r="A609" s="29"/>
      <c r="B609" s="2"/>
      <c r="C609" s="2"/>
      <c r="D609" s="2"/>
      <c r="E609" s="3"/>
      <c r="F609" s="3"/>
      <c r="G609" s="7"/>
      <c r="J609" s="7"/>
      <c r="K609" s="7"/>
      <c r="M609" s="3"/>
      <c r="N609" s="3"/>
    </row>
    <row r="610" spans="1:14" ht="13" x14ac:dyDescent="0.15">
      <c r="A610" s="29"/>
      <c r="B610" s="2"/>
      <c r="C610" s="2"/>
      <c r="D610" s="2"/>
      <c r="E610" s="3"/>
      <c r="F610" s="3"/>
      <c r="G610" s="7"/>
      <c r="J610" s="7"/>
      <c r="K610" s="7"/>
      <c r="M610" s="3"/>
      <c r="N610" s="3"/>
    </row>
    <row r="611" spans="1:14" ht="13" x14ac:dyDescent="0.15">
      <c r="A611" s="29"/>
      <c r="B611" s="2"/>
      <c r="C611" s="2"/>
      <c r="D611" s="2"/>
      <c r="E611" s="3"/>
      <c r="F611" s="3"/>
      <c r="G611" s="7"/>
      <c r="J611" s="7"/>
      <c r="K611" s="7"/>
      <c r="M611" s="3"/>
      <c r="N611" s="3"/>
    </row>
    <row r="612" spans="1:14" ht="13" x14ac:dyDescent="0.15">
      <c r="A612" s="29"/>
      <c r="B612" s="2"/>
      <c r="C612" s="2"/>
      <c r="D612" s="2"/>
      <c r="E612" s="3"/>
      <c r="F612" s="3"/>
      <c r="G612" s="7"/>
      <c r="J612" s="7"/>
      <c r="K612" s="7"/>
      <c r="M612" s="3"/>
      <c r="N612" s="3"/>
    </row>
    <row r="613" spans="1:14" ht="13" x14ac:dyDescent="0.15">
      <c r="A613" s="29"/>
      <c r="B613" s="2"/>
      <c r="C613" s="2"/>
      <c r="D613" s="2"/>
      <c r="E613" s="3"/>
      <c r="F613" s="3"/>
      <c r="G613" s="7"/>
      <c r="J613" s="7"/>
      <c r="K613" s="7"/>
      <c r="M613" s="3"/>
      <c r="N613" s="3"/>
    </row>
    <row r="614" spans="1:14" ht="13" x14ac:dyDescent="0.15">
      <c r="A614" s="29"/>
      <c r="B614" s="2"/>
      <c r="C614" s="2"/>
      <c r="D614" s="2"/>
      <c r="E614" s="3"/>
      <c r="F614" s="3"/>
      <c r="G614" s="7"/>
      <c r="J614" s="7"/>
      <c r="K614" s="7"/>
      <c r="M614" s="3"/>
      <c r="N614" s="3"/>
    </row>
    <row r="615" spans="1:14" ht="13" x14ac:dyDescent="0.15">
      <c r="A615" s="29"/>
      <c r="B615" s="2"/>
      <c r="C615" s="2"/>
      <c r="D615" s="2"/>
      <c r="E615" s="3"/>
      <c r="F615" s="3"/>
      <c r="G615" s="7"/>
      <c r="J615" s="7"/>
      <c r="K615" s="7"/>
      <c r="M615" s="3"/>
      <c r="N615" s="3"/>
    </row>
    <row r="616" spans="1:14" ht="13" x14ac:dyDescent="0.15">
      <c r="A616" s="29"/>
      <c r="B616" s="2"/>
      <c r="C616" s="2"/>
      <c r="D616" s="2"/>
      <c r="E616" s="3"/>
      <c r="F616" s="3"/>
      <c r="G616" s="7"/>
      <c r="J616" s="7"/>
      <c r="K616" s="7"/>
      <c r="M616" s="3"/>
      <c r="N616" s="3"/>
    </row>
    <row r="617" spans="1:14" ht="13" x14ac:dyDescent="0.15">
      <c r="A617" s="29"/>
      <c r="B617" s="2"/>
      <c r="C617" s="2"/>
      <c r="D617" s="2"/>
      <c r="E617" s="3"/>
      <c r="F617" s="3"/>
      <c r="G617" s="7"/>
      <c r="J617" s="7"/>
      <c r="K617" s="7"/>
      <c r="M617" s="3"/>
      <c r="N617" s="3"/>
    </row>
    <row r="618" spans="1:14" ht="13" x14ac:dyDescent="0.15">
      <c r="A618" s="29"/>
      <c r="B618" s="2"/>
      <c r="C618" s="2"/>
      <c r="D618" s="2"/>
      <c r="E618" s="3"/>
      <c r="F618" s="3"/>
      <c r="G618" s="7"/>
      <c r="J618" s="7"/>
      <c r="K618" s="7"/>
      <c r="M618" s="3"/>
      <c r="N618" s="3"/>
    </row>
    <row r="619" spans="1:14" ht="13" x14ac:dyDescent="0.15">
      <c r="A619" s="29"/>
      <c r="B619" s="2"/>
      <c r="C619" s="2"/>
      <c r="D619" s="2"/>
      <c r="E619" s="3"/>
      <c r="F619" s="3"/>
      <c r="G619" s="7"/>
      <c r="J619" s="7"/>
      <c r="K619" s="7"/>
      <c r="M619" s="3"/>
      <c r="N619" s="3"/>
    </row>
    <row r="620" spans="1:14" ht="13" x14ac:dyDescent="0.15">
      <c r="A620" s="29"/>
      <c r="B620" s="2"/>
      <c r="C620" s="2"/>
      <c r="D620" s="2"/>
      <c r="E620" s="3"/>
      <c r="F620" s="3"/>
      <c r="G620" s="7"/>
      <c r="J620" s="7"/>
      <c r="K620" s="7"/>
      <c r="M620" s="3"/>
      <c r="N620" s="3"/>
    </row>
    <row r="621" spans="1:14" ht="13" x14ac:dyDescent="0.15">
      <c r="A621" s="29"/>
      <c r="B621" s="2"/>
      <c r="C621" s="2"/>
      <c r="D621" s="2"/>
      <c r="E621" s="3"/>
      <c r="F621" s="3"/>
      <c r="G621" s="7"/>
      <c r="J621" s="7"/>
      <c r="K621" s="7"/>
      <c r="M621" s="3"/>
      <c r="N621" s="3"/>
    </row>
    <row r="622" spans="1:14" ht="13" x14ac:dyDescent="0.15">
      <c r="A622" s="29"/>
      <c r="B622" s="2"/>
      <c r="C622" s="2"/>
      <c r="D622" s="2"/>
      <c r="E622" s="3"/>
      <c r="F622" s="3"/>
      <c r="G622" s="7"/>
      <c r="J622" s="7"/>
      <c r="K622" s="7"/>
      <c r="M622" s="3"/>
      <c r="N622" s="3"/>
    </row>
    <row r="623" spans="1:14" ht="13" x14ac:dyDescent="0.15">
      <c r="A623" s="29"/>
      <c r="B623" s="2"/>
      <c r="C623" s="2"/>
      <c r="D623" s="2"/>
      <c r="E623" s="3"/>
      <c r="F623" s="3"/>
      <c r="G623" s="7"/>
      <c r="J623" s="7"/>
      <c r="K623" s="7"/>
      <c r="M623" s="3"/>
      <c r="N623" s="3"/>
    </row>
    <row r="624" spans="1:14" ht="13" x14ac:dyDescent="0.15">
      <c r="A624" s="29"/>
      <c r="B624" s="2"/>
      <c r="C624" s="2"/>
      <c r="D624" s="2"/>
      <c r="E624" s="3"/>
      <c r="F624" s="3"/>
      <c r="G624" s="7"/>
      <c r="J624" s="7"/>
      <c r="K624" s="7"/>
      <c r="M624" s="3"/>
      <c r="N624" s="3"/>
    </row>
    <row r="625" spans="1:14" ht="13" x14ac:dyDescent="0.15">
      <c r="A625" s="29"/>
      <c r="B625" s="2"/>
      <c r="C625" s="2"/>
      <c r="D625" s="2"/>
      <c r="E625" s="3"/>
      <c r="F625" s="3"/>
      <c r="G625" s="7"/>
      <c r="J625" s="7"/>
      <c r="K625" s="7"/>
      <c r="M625" s="3"/>
      <c r="N625" s="3"/>
    </row>
    <row r="626" spans="1:14" ht="13" x14ac:dyDescent="0.15">
      <c r="A626" s="29"/>
      <c r="B626" s="2"/>
      <c r="C626" s="2"/>
      <c r="D626" s="2"/>
      <c r="E626" s="3"/>
      <c r="F626" s="3"/>
      <c r="G626" s="7"/>
      <c r="J626" s="7"/>
      <c r="K626" s="7"/>
      <c r="M626" s="3"/>
      <c r="N626" s="3"/>
    </row>
    <row r="627" spans="1:14" ht="13" x14ac:dyDescent="0.15">
      <c r="A627" s="29"/>
      <c r="B627" s="2"/>
      <c r="C627" s="2"/>
      <c r="D627" s="2"/>
      <c r="E627" s="3"/>
      <c r="F627" s="3"/>
      <c r="G627" s="7"/>
      <c r="J627" s="7"/>
      <c r="K627" s="7"/>
      <c r="M627" s="3"/>
      <c r="N627" s="3"/>
    </row>
    <row r="628" spans="1:14" ht="13" x14ac:dyDescent="0.15">
      <c r="A628" s="29"/>
      <c r="B628" s="2"/>
      <c r="C628" s="2"/>
      <c r="D628" s="2"/>
      <c r="E628" s="3"/>
      <c r="F628" s="3"/>
      <c r="G628" s="7"/>
      <c r="J628" s="7"/>
      <c r="K628" s="7"/>
      <c r="M628" s="3"/>
      <c r="N628" s="3"/>
    </row>
    <row r="629" spans="1:14" ht="13" x14ac:dyDescent="0.15">
      <c r="A629" s="29"/>
      <c r="B629" s="2"/>
      <c r="C629" s="2"/>
      <c r="D629" s="2"/>
      <c r="E629" s="3"/>
      <c r="F629" s="3"/>
      <c r="G629" s="7"/>
      <c r="J629" s="7"/>
      <c r="K629" s="7"/>
      <c r="M629" s="3"/>
      <c r="N629" s="3"/>
    </row>
    <row r="630" spans="1:14" ht="13" x14ac:dyDescent="0.15">
      <c r="A630" s="29"/>
      <c r="B630" s="2"/>
      <c r="C630" s="2"/>
      <c r="D630" s="2"/>
      <c r="E630" s="3"/>
      <c r="F630" s="3"/>
      <c r="G630" s="7"/>
      <c r="J630" s="7"/>
      <c r="K630" s="7"/>
      <c r="M630" s="3"/>
      <c r="N630" s="3"/>
    </row>
    <row r="631" spans="1:14" ht="13" x14ac:dyDescent="0.15">
      <c r="A631" s="29"/>
      <c r="B631" s="2"/>
      <c r="C631" s="2"/>
      <c r="D631" s="2"/>
      <c r="E631" s="3"/>
      <c r="F631" s="3"/>
      <c r="G631" s="7"/>
      <c r="J631" s="7"/>
      <c r="K631" s="7"/>
      <c r="M631" s="3"/>
      <c r="N631" s="3"/>
    </row>
    <row r="632" spans="1:14" ht="13" x14ac:dyDescent="0.15">
      <c r="A632" s="29"/>
      <c r="B632" s="2"/>
      <c r="C632" s="2"/>
      <c r="D632" s="2"/>
      <c r="E632" s="3"/>
      <c r="F632" s="3"/>
      <c r="G632" s="7"/>
      <c r="J632" s="7"/>
      <c r="K632" s="7"/>
      <c r="M632" s="3"/>
      <c r="N632" s="3"/>
    </row>
    <row r="633" spans="1:14" ht="13" x14ac:dyDescent="0.15">
      <c r="A633" s="29"/>
      <c r="B633" s="2"/>
      <c r="C633" s="2"/>
      <c r="D633" s="2"/>
      <c r="E633" s="3"/>
      <c r="F633" s="3"/>
      <c r="G633" s="7"/>
      <c r="J633" s="7"/>
      <c r="K633" s="7"/>
      <c r="M633" s="3"/>
      <c r="N633" s="3"/>
    </row>
    <row r="634" spans="1:14" ht="13" x14ac:dyDescent="0.15">
      <c r="A634" s="29"/>
      <c r="B634" s="2"/>
      <c r="C634" s="2"/>
      <c r="D634" s="2"/>
      <c r="E634" s="3"/>
      <c r="F634" s="3"/>
      <c r="G634" s="7"/>
      <c r="J634" s="7"/>
      <c r="K634" s="7"/>
      <c r="M634" s="3"/>
      <c r="N634" s="3"/>
    </row>
    <row r="635" spans="1:14" ht="13" x14ac:dyDescent="0.15">
      <c r="A635" s="29"/>
      <c r="B635" s="2"/>
      <c r="C635" s="2"/>
      <c r="D635" s="2"/>
      <c r="E635" s="3"/>
      <c r="F635" s="3"/>
      <c r="G635" s="7"/>
      <c r="J635" s="7"/>
      <c r="K635" s="7"/>
      <c r="M635" s="3"/>
      <c r="N635" s="3"/>
    </row>
    <row r="636" spans="1:14" ht="13" x14ac:dyDescent="0.15">
      <c r="A636" s="29"/>
      <c r="B636" s="2"/>
      <c r="C636" s="2"/>
      <c r="D636" s="2"/>
      <c r="E636" s="3"/>
      <c r="F636" s="3"/>
      <c r="G636" s="7"/>
      <c r="J636" s="7"/>
      <c r="K636" s="7"/>
      <c r="M636" s="3"/>
      <c r="N636" s="3"/>
    </row>
    <row r="637" spans="1:14" ht="13" x14ac:dyDescent="0.15">
      <c r="A637" s="29"/>
      <c r="B637" s="2"/>
      <c r="C637" s="2"/>
      <c r="D637" s="2"/>
      <c r="E637" s="3"/>
      <c r="F637" s="3"/>
      <c r="G637" s="7"/>
      <c r="J637" s="7"/>
      <c r="K637" s="7"/>
      <c r="M637" s="3"/>
      <c r="N637" s="3"/>
    </row>
    <row r="638" spans="1:14" ht="13" x14ac:dyDescent="0.15">
      <c r="A638" s="29"/>
      <c r="B638" s="2"/>
      <c r="C638" s="2"/>
      <c r="D638" s="2"/>
      <c r="E638" s="3"/>
      <c r="F638" s="3"/>
      <c r="G638" s="7"/>
      <c r="J638" s="7"/>
      <c r="K638" s="7"/>
      <c r="M638" s="3"/>
      <c r="N638" s="3"/>
    </row>
    <row r="639" spans="1:14" ht="13" x14ac:dyDescent="0.15">
      <c r="A639" s="29"/>
      <c r="B639" s="2"/>
      <c r="C639" s="2"/>
      <c r="D639" s="2"/>
      <c r="E639" s="3"/>
      <c r="F639" s="3"/>
      <c r="G639" s="7"/>
      <c r="J639" s="7"/>
      <c r="K639" s="7"/>
      <c r="M639" s="3"/>
      <c r="N639" s="3"/>
    </row>
    <row r="640" spans="1:14" ht="13" x14ac:dyDescent="0.15">
      <c r="A640" s="29"/>
      <c r="B640" s="2"/>
      <c r="C640" s="2"/>
      <c r="D640" s="2"/>
      <c r="E640" s="3"/>
      <c r="F640" s="3"/>
      <c r="G640" s="7"/>
      <c r="J640" s="7"/>
      <c r="K640" s="7"/>
      <c r="M640" s="3"/>
      <c r="N640" s="3"/>
    </row>
    <row r="641" spans="1:14" ht="13" x14ac:dyDescent="0.15">
      <c r="A641" s="29"/>
      <c r="B641" s="2"/>
      <c r="C641" s="2"/>
      <c r="D641" s="2"/>
      <c r="E641" s="3"/>
      <c r="F641" s="3"/>
      <c r="G641" s="7"/>
      <c r="J641" s="7"/>
      <c r="K641" s="7"/>
      <c r="M641" s="3"/>
      <c r="N641" s="3"/>
    </row>
    <row r="642" spans="1:14" ht="13" x14ac:dyDescent="0.15">
      <c r="A642" s="29"/>
      <c r="B642" s="2"/>
      <c r="C642" s="2"/>
      <c r="D642" s="2"/>
      <c r="E642" s="3"/>
      <c r="F642" s="3"/>
      <c r="G642" s="7"/>
      <c r="J642" s="7"/>
      <c r="K642" s="7"/>
      <c r="M642" s="3"/>
      <c r="N642" s="3"/>
    </row>
    <row r="643" spans="1:14" ht="13" x14ac:dyDescent="0.15">
      <c r="A643" s="29"/>
      <c r="B643" s="2"/>
      <c r="C643" s="2"/>
      <c r="D643" s="2"/>
      <c r="E643" s="3"/>
      <c r="F643" s="3"/>
      <c r="G643" s="7"/>
      <c r="J643" s="7"/>
      <c r="K643" s="7"/>
      <c r="M643" s="3"/>
      <c r="N643" s="3"/>
    </row>
    <row r="644" spans="1:14" ht="13" x14ac:dyDescent="0.15">
      <c r="A644" s="29"/>
      <c r="B644" s="2"/>
      <c r="C644" s="2"/>
      <c r="D644" s="2"/>
      <c r="E644" s="3"/>
      <c r="F644" s="3"/>
      <c r="G644" s="7"/>
      <c r="J644" s="7"/>
      <c r="K644" s="7"/>
      <c r="M644" s="3"/>
      <c r="N644" s="3"/>
    </row>
    <row r="645" spans="1:14" ht="13" x14ac:dyDescent="0.15">
      <c r="A645" s="29"/>
      <c r="B645" s="2"/>
      <c r="C645" s="2"/>
      <c r="D645" s="2"/>
      <c r="E645" s="3"/>
      <c r="F645" s="3"/>
      <c r="G645" s="7"/>
      <c r="J645" s="7"/>
      <c r="K645" s="7"/>
      <c r="M645" s="3"/>
      <c r="N645" s="3"/>
    </row>
    <row r="646" spans="1:14" ht="13" x14ac:dyDescent="0.15">
      <c r="A646" s="29"/>
      <c r="B646" s="2"/>
      <c r="C646" s="2"/>
      <c r="D646" s="2"/>
      <c r="E646" s="3"/>
      <c r="F646" s="3"/>
      <c r="G646" s="7"/>
      <c r="J646" s="7"/>
      <c r="K646" s="7"/>
      <c r="M646" s="3"/>
      <c r="N646" s="3"/>
    </row>
    <row r="647" spans="1:14" ht="13" x14ac:dyDescent="0.15">
      <c r="A647" s="29"/>
      <c r="B647" s="2"/>
      <c r="C647" s="2"/>
      <c r="D647" s="2"/>
      <c r="E647" s="3"/>
      <c r="F647" s="3"/>
      <c r="G647" s="7"/>
      <c r="J647" s="7"/>
      <c r="K647" s="7"/>
      <c r="M647" s="3"/>
      <c r="N647" s="3"/>
    </row>
    <row r="648" spans="1:14" ht="13" x14ac:dyDescent="0.15">
      <c r="A648" s="29"/>
      <c r="B648" s="2"/>
      <c r="C648" s="2"/>
      <c r="D648" s="2"/>
      <c r="E648" s="3"/>
      <c r="F648" s="3"/>
      <c r="G648" s="7"/>
      <c r="J648" s="7"/>
      <c r="K648" s="7"/>
      <c r="M648" s="3"/>
      <c r="N648" s="3"/>
    </row>
    <row r="649" spans="1:14" ht="13" x14ac:dyDescent="0.15">
      <c r="A649" s="29"/>
      <c r="B649" s="2"/>
      <c r="C649" s="2"/>
      <c r="D649" s="2"/>
      <c r="E649" s="3"/>
      <c r="F649" s="3"/>
      <c r="G649" s="7"/>
      <c r="J649" s="7"/>
      <c r="K649" s="7"/>
      <c r="M649" s="3"/>
      <c r="N649" s="3"/>
    </row>
    <row r="650" spans="1:14" ht="13" x14ac:dyDescent="0.15">
      <c r="A650" s="29"/>
      <c r="B650" s="2"/>
      <c r="C650" s="2"/>
      <c r="D650" s="2"/>
      <c r="E650" s="3"/>
      <c r="F650" s="3"/>
      <c r="G650" s="7"/>
      <c r="J650" s="7"/>
      <c r="K650" s="7"/>
      <c r="M650" s="3"/>
      <c r="N650" s="3"/>
    </row>
    <row r="651" spans="1:14" ht="13" x14ac:dyDescent="0.15">
      <c r="A651" s="29"/>
      <c r="B651" s="2"/>
      <c r="C651" s="2"/>
      <c r="D651" s="2"/>
      <c r="E651" s="3"/>
      <c r="F651" s="3"/>
      <c r="G651" s="7"/>
      <c r="J651" s="7"/>
      <c r="K651" s="7"/>
      <c r="M651" s="3"/>
      <c r="N651" s="3"/>
    </row>
    <row r="652" spans="1:14" ht="13" x14ac:dyDescent="0.15">
      <c r="A652" s="29"/>
      <c r="B652" s="2"/>
      <c r="C652" s="2"/>
      <c r="D652" s="2"/>
      <c r="E652" s="3"/>
      <c r="F652" s="3"/>
      <c r="G652" s="7"/>
      <c r="J652" s="7"/>
      <c r="K652" s="7"/>
      <c r="M652" s="3"/>
      <c r="N652" s="3"/>
    </row>
    <row r="653" spans="1:14" ht="13" x14ac:dyDescent="0.15">
      <c r="A653" s="29"/>
      <c r="B653" s="2"/>
      <c r="C653" s="2"/>
      <c r="D653" s="2"/>
      <c r="E653" s="3"/>
      <c r="F653" s="3"/>
      <c r="G653" s="7"/>
      <c r="J653" s="7"/>
      <c r="K653" s="7"/>
      <c r="M653" s="3"/>
      <c r="N653" s="3"/>
    </row>
    <row r="654" spans="1:14" ht="13" x14ac:dyDescent="0.15">
      <c r="A654" s="29"/>
      <c r="B654" s="2"/>
      <c r="C654" s="2"/>
      <c r="D654" s="2"/>
      <c r="E654" s="3"/>
      <c r="F654" s="3"/>
      <c r="G654" s="7"/>
      <c r="J654" s="7"/>
      <c r="K654" s="7"/>
      <c r="M654" s="3"/>
      <c r="N654" s="3"/>
    </row>
    <row r="655" spans="1:14" ht="13" x14ac:dyDescent="0.15">
      <c r="A655" s="29"/>
      <c r="B655" s="2"/>
      <c r="C655" s="2"/>
      <c r="D655" s="2"/>
      <c r="E655" s="3"/>
      <c r="F655" s="3"/>
      <c r="G655" s="7"/>
      <c r="J655" s="7"/>
      <c r="K655" s="7"/>
      <c r="M655" s="3"/>
      <c r="N655" s="3"/>
    </row>
    <row r="656" spans="1:14" ht="13" x14ac:dyDescent="0.15">
      <c r="A656" s="29"/>
      <c r="B656" s="2"/>
      <c r="C656" s="2"/>
      <c r="D656" s="2"/>
      <c r="E656" s="3"/>
      <c r="F656" s="3"/>
      <c r="G656" s="7"/>
      <c r="J656" s="7"/>
      <c r="K656" s="7"/>
      <c r="M656" s="3"/>
      <c r="N656" s="3"/>
    </row>
    <row r="657" spans="1:14" ht="13" x14ac:dyDescent="0.15">
      <c r="A657" s="29"/>
      <c r="B657" s="2"/>
      <c r="C657" s="2"/>
      <c r="D657" s="2"/>
      <c r="E657" s="3"/>
      <c r="F657" s="3"/>
      <c r="G657" s="7"/>
      <c r="J657" s="7"/>
      <c r="K657" s="7"/>
      <c r="M657" s="3"/>
      <c r="N657" s="3"/>
    </row>
    <row r="658" spans="1:14" ht="13" x14ac:dyDescent="0.15">
      <c r="A658" s="29"/>
      <c r="B658" s="2"/>
      <c r="C658" s="2"/>
      <c r="D658" s="2"/>
      <c r="E658" s="3"/>
      <c r="F658" s="3"/>
      <c r="G658" s="7"/>
      <c r="J658" s="7"/>
      <c r="K658" s="7"/>
      <c r="M658" s="3"/>
      <c r="N658" s="3"/>
    </row>
    <row r="659" spans="1:14" ht="13" x14ac:dyDescent="0.15">
      <c r="A659" s="29"/>
      <c r="B659" s="2"/>
      <c r="C659" s="2"/>
      <c r="D659" s="2"/>
      <c r="E659" s="3"/>
      <c r="F659" s="3"/>
      <c r="G659" s="7"/>
      <c r="J659" s="7"/>
      <c r="K659" s="7"/>
      <c r="M659" s="3"/>
      <c r="N659" s="3"/>
    </row>
    <row r="660" spans="1:14" ht="13" x14ac:dyDescent="0.15">
      <c r="A660" s="29"/>
      <c r="B660" s="2"/>
      <c r="C660" s="2"/>
      <c r="D660" s="2"/>
      <c r="E660" s="3"/>
      <c r="F660" s="3"/>
      <c r="G660" s="7"/>
      <c r="J660" s="7"/>
      <c r="K660" s="7"/>
      <c r="M660" s="3"/>
      <c r="N660" s="3"/>
    </row>
    <row r="661" spans="1:14" ht="13" x14ac:dyDescent="0.15">
      <c r="A661" s="29"/>
      <c r="B661" s="2"/>
      <c r="C661" s="2"/>
      <c r="D661" s="2"/>
      <c r="E661" s="3"/>
      <c r="F661" s="3"/>
      <c r="G661" s="7"/>
      <c r="J661" s="7"/>
      <c r="K661" s="7"/>
      <c r="M661" s="3"/>
      <c r="N661" s="3"/>
    </row>
    <row r="662" spans="1:14" ht="13" x14ac:dyDescent="0.15">
      <c r="A662" s="29"/>
      <c r="B662" s="2"/>
      <c r="C662" s="2"/>
      <c r="D662" s="2"/>
      <c r="E662" s="3"/>
      <c r="F662" s="3"/>
      <c r="G662" s="7"/>
      <c r="J662" s="7"/>
      <c r="K662" s="7"/>
      <c r="M662" s="3"/>
      <c r="N662" s="3"/>
    </row>
    <row r="663" spans="1:14" ht="13" x14ac:dyDescent="0.15">
      <c r="A663" s="29"/>
      <c r="B663" s="2"/>
      <c r="C663" s="2"/>
      <c r="D663" s="2"/>
      <c r="E663" s="3"/>
      <c r="F663" s="3"/>
      <c r="G663" s="7"/>
      <c r="J663" s="7"/>
      <c r="K663" s="7"/>
      <c r="M663" s="3"/>
      <c r="N663" s="3"/>
    </row>
    <row r="664" spans="1:14" ht="13" x14ac:dyDescent="0.15">
      <c r="A664" s="29"/>
      <c r="B664" s="2"/>
      <c r="C664" s="2"/>
      <c r="D664" s="2"/>
      <c r="E664" s="3"/>
      <c r="F664" s="3"/>
      <c r="G664" s="7"/>
      <c r="J664" s="7"/>
      <c r="K664" s="7"/>
      <c r="M664" s="3"/>
      <c r="N664" s="3"/>
    </row>
    <row r="665" spans="1:14" ht="13" x14ac:dyDescent="0.15">
      <c r="A665" s="29"/>
      <c r="B665" s="2"/>
      <c r="C665" s="2"/>
      <c r="D665" s="2"/>
      <c r="E665" s="3"/>
      <c r="F665" s="3"/>
      <c r="G665" s="7"/>
      <c r="J665" s="7"/>
      <c r="K665" s="7"/>
      <c r="M665" s="3"/>
      <c r="N665" s="3"/>
    </row>
    <row r="666" spans="1:14" ht="13" x14ac:dyDescent="0.15">
      <c r="A666" s="29"/>
      <c r="B666" s="2"/>
      <c r="C666" s="2"/>
      <c r="D666" s="2"/>
      <c r="E666" s="3"/>
      <c r="F666" s="3"/>
      <c r="G666" s="7"/>
      <c r="J666" s="7"/>
      <c r="K666" s="7"/>
      <c r="M666" s="3"/>
      <c r="N666" s="3"/>
    </row>
    <row r="667" spans="1:14" ht="13" x14ac:dyDescent="0.15">
      <c r="A667" s="29"/>
      <c r="B667" s="2"/>
      <c r="C667" s="2"/>
      <c r="D667" s="2"/>
      <c r="E667" s="3"/>
      <c r="F667" s="3"/>
      <c r="G667" s="7"/>
      <c r="J667" s="7"/>
      <c r="K667" s="7"/>
      <c r="M667" s="3"/>
      <c r="N667" s="3"/>
    </row>
    <row r="668" spans="1:14" ht="13" x14ac:dyDescent="0.15">
      <c r="A668" s="29"/>
      <c r="B668" s="2"/>
      <c r="C668" s="2"/>
      <c r="D668" s="2"/>
      <c r="E668" s="3"/>
      <c r="F668" s="3"/>
      <c r="G668" s="7"/>
      <c r="J668" s="7"/>
      <c r="K668" s="7"/>
      <c r="M668" s="3"/>
      <c r="N668" s="3"/>
    </row>
    <row r="669" spans="1:14" ht="13" x14ac:dyDescent="0.15">
      <c r="A669" s="29"/>
      <c r="B669" s="2"/>
      <c r="C669" s="2"/>
      <c r="D669" s="2"/>
      <c r="E669" s="3"/>
      <c r="F669" s="3"/>
      <c r="G669" s="7"/>
      <c r="J669" s="7"/>
      <c r="K669" s="7"/>
      <c r="M669" s="3"/>
      <c r="N669" s="3"/>
    </row>
    <row r="670" spans="1:14" ht="13" x14ac:dyDescent="0.15">
      <c r="A670" s="29"/>
      <c r="B670" s="2"/>
      <c r="C670" s="2"/>
      <c r="D670" s="2"/>
      <c r="E670" s="3"/>
      <c r="F670" s="3"/>
      <c r="G670" s="7"/>
      <c r="J670" s="7"/>
      <c r="K670" s="7"/>
      <c r="M670" s="3"/>
      <c r="N670" s="3"/>
    </row>
    <row r="671" spans="1:14" ht="13" x14ac:dyDescent="0.15">
      <c r="A671" s="29"/>
      <c r="B671" s="2"/>
      <c r="C671" s="2"/>
      <c r="D671" s="2"/>
      <c r="E671" s="3"/>
      <c r="F671" s="3"/>
      <c r="G671" s="7"/>
      <c r="J671" s="7"/>
      <c r="K671" s="7"/>
      <c r="M671" s="3"/>
      <c r="N671" s="3"/>
    </row>
    <row r="672" spans="1:14" ht="13" x14ac:dyDescent="0.15">
      <c r="A672" s="29"/>
      <c r="B672" s="2"/>
      <c r="C672" s="2"/>
      <c r="D672" s="2"/>
      <c r="E672" s="3"/>
      <c r="F672" s="3"/>
      <c r="G672" s="7"/>
      <c r="J672" s="7"/>
      <c r="K672" s="7"/>
      <c r="M672" s="3"/>
      <c r="N672" s="3"/>
    </row>
    <row r="673" spans="1:14" ht="13" x14ac:dyDescent="0.15">
      <c r="A673" s="29"/>
      <c r="B673" s="2"/>
      <c r="C673" s="2"/>
      <c r="D673" s="2"/>
      <c r="E673" s="3"/>
      <c r="F673" s="3"/>
      <c r="G673" s="7"/>
      <c r="J673" s="7"/>
      <c r="K673" s="7"/>
      <c r="M673" s="3"/>
      <c r="N673" s="3"/>
    </row>
    <row r="674" spans="1:14" ht="13" x14ac:dyDescent="0.15">
      <c r="A674" s="29"/>
      <c r="B674" s="2"/>
      <c r="C674" s="2"/>
      <c r="D674" s="2"/>
      <c r="E674" s="3"/>
      <c r="F674" s="3"/>
      <c r="G674" s="7"/>
      <c r="J674" s="7"/>
      <c r="K674" s="7"/>
      <c r="M674" s="3"/>
      <c r="N674" s="3"/>
    </row>
    <row r="675" spans="1:14" ht="13" x14ac:dyDescent="0.15">
      <c r="A675" s="29"/>
      <c r="B675" s="2"/>
      <c r="C675" s="2"/>
      <c r="D675" s="2"/>
      <c r="E675" s="3"/>
      <c r="F675" s="3"/>
      <c r="G675" s="7"/>
      <c r="J675" s="7"/>
      <c r="K675" s="7"/>
      <c r="M675" s="3"/>
      <c r="N675" s="3"/>
    </row>
    <row r="676" spans="1:14" ht="13" x14ac:dyDescent="0.15">
      <c r="A676" s="29"/>
      <c r="B676" s="2"/>
      <c r="C676" s="2"/>
      <c r="D676" s="2"/>
      <c r="E676" s="3"/>
      <c r="F676" s="3"/>
      <c r="G676" s="7"/>
      <c r="J676" s="7"/>
      <c r="K676" s="7"/>
      <c r="M676" s="3"/>
      <c r="N676" s="3"/>
    </row>
    <row r="677" spans="1:14" ht="13" x14ac:dyDescent="0.15">
      <c r="A677" s="29"/>
      <c r="B677" s="2"/>
      <c r="C677" s="2"/>
      <c r="D677" s="2"/>
      <c r="E677" s="3"/>
      <c r="F677" s="3"/>
      <c r="G677" s="7"/>
      <c r="J677" s="7"/>
      <c r="K677" s="7"/>
      <c r="M677" s="3"/>
      <c r="N677" s="3"/>
    </row>
    <row r="678" spans="1:14" ht="13" x14ac:dyDescent="0.15">
      <c r="A678" s="29"/>
      <c r="B678" s="2"/>
      <c r="C678" s="2"/>
      <c r="D678" s="2"/>
      <c r="E678" s="3"/>
      <c r="F678" s="3"/>
      <c r="G678" s="7"/>
      <c r="J678" s="7"/>
      <c r="K678" s="7"/>
      <c r="M678" s="3"/>
      <c r="N678" s="3"/>
    </row>
    <row r="679" spans="1:14" ht="13" x14ac:dyDescent="0.15">
      <c r="A679" s="29"/>
      <c r="B679" s="2"/>
      <c r="C679" s="2"/>
      <c r="D679" s="2"/>
      <c r="E679" s="3"/>
      <c r="F679" s="3"/>
      <c r="G679" s="7"/>
      <c r="J679" s="7"/>
      <c r="K679" s="7"/>
      <c r="M679" s="3"/>
      <c r="N679" s="3"/>
    </row>
    <row r="680" spans="1:14" ht="13" x14ac:dyDescent="0.15">
      <c r="A680" s="29"/>
      <c r="B680" s="2"/>
      <c r="C680" s="2"/>
      <c r="D680" s="2"/>
      <c r="E680" s="3"/>
      <c r="F680" s="3"/>
      <c r="G680" s="7"/>
      <c r="J680" s="7"/>
      <c r="K680" s="7"/>
      <c r="M680" s="3"/>
      <c r="N680" s="3"/>
    </row>
    <row r="681" spans="1:14" ht="13" x14ac:dyDescent="0.15">
      <c r="A681" s="29"/>
      <c r="B681" s="2"/>
      <c r="C681" s="2"/>
      <c r="D681" s="2"/>
      <c r="E681" s="3"/>
      <c r="F681" s="3"/>
      <c r="G681" s="7"/>
      <c r="J681" s="7"/>
      <c r="K681" s="7"/>
      <c r="M681" s="3"/>
      <c r="N681" s="3"/>
    </row>
    <row r="682" spans="1:14" ht="13" x14ac:dyDescent="0.15">
      <c r="A682" s="29"/>
      <c r="B682" s="2"/>
      <c r="C682" s="2"/>
      <c r="D682" s="2"/>
      <c r="E682" s="3"/>
      <c r="F682" s="3"/>
      <c r="G682" s="7"/>
      <c r="J682" s="7"/>
      <c r="K682" s="7"/>
      <c r="M682" s="3"/>
      <c r="N682" s="3"/>
    </row>
    <row r="683" spans="1:14" ht="13" x14ac:dyDescent="0.15">
      <c r="A683" s="29"/>
      <c r="B683" s="2"/>
      <c r="C683" s="2"/>
      <c r="D683" s="2"/>
      <c r="E683" s="3"/>
      <c r="F683" s="3"/>
      <c r="G683" s="7"/>
      <c r="J683" s="7"/>
      <c r="K683" s="7"/>
      <c r="M683" s="3"/>
      <c r="N683" s="3"/>
    </row>
    <row r="684" spans="1:14" ht="13" x14ac:dyDescent="0.15">
      <c r="A684" s="29"/>
      <c r="B684" s="2"/>
      <c r="C684" s="2"/>
      <c r="D684" s="2"/>
      <c r="E684" s="3"/>
      <c r="F684" s="3"/>
      <c r="G684" s="7"/>
      <c r="J684" s="7"/>
      <c r="K684" s="7"/>
      <c r="M684" s="3"/>
      <c r="N684" s="3"/>
    </row>
    <row r="685" spans="1:14" ht="13" x14ac:dyDescent="0.15">
      <c r="A685" s="29"/>
      <c r="B685" s="2"/>
      <c r="C685" s="2"/>
      <c r="D685" s="2"/>
      <c r="E685" s="3"/>
      <c r="F685" s="3"/>
      <c r="G685" s="7"/>
      <c r="J685" s="7"/>
      <c r="K685" s="7"/>
      <c r="M685" s="3"/>
      <c r="N685" s="3"/>
    </row>
    <row r="686" spans="1:14" ht="13" x14ac:dyDescent="0.15">
      <c r="A686" s="29"/>
      <c r="B686" s="2"/>
      <c r="C686" s="2"/>
      <c r="D686" s="2"/>
      <c r="E686" s="3"/>
      <c r="F686" s="3"/>
      <c r="G686" s="7"/>
      <c r="J686" s="7"/>
      <c r="K686" s="7"/>
      <c r="M686" s="3"/>
      <c r="N686" s="3"/>
    </row>
    <row r="687" spans="1:14" ht="13" x14ac:dyDescent="0.15">
      <c r="A687" s="29"/>
      <c r="B687" s="2"/>
      <c r="C687" s="2"/>
      <c r="D687" s="2"/>
      <c r="E687" s="3"/>
      <c r="F687" s="3"/>
      <c r="G687" s="7"/>
      <c r="J687" s="7"/>
      <c r="K687" s="7"/>
      <c r="M687" s="3"/>
      <c r="N687" s="3"/>
    </row>
    <row r="688" spans="1:14" ht="13" x14ac:dyDescent="0.15">
      <c r="A688" s="29"/>
      <c r="B688" s="2"/>
      <c r="C688" s="2"/>
      <c r="D688" s="2"/>
      <c r="E688" s="3"/>
      <c r="F688" s="3"/>
      <c r="G688" s="7"/>
      <c r="J688" s="7"/>
      <c r="K688" s="7"/>
      <c r="M688" s="3"/>
      <c r="N688" s="3"/>
    </row>
    <row r="689" spans="1:14" ht="13" x14ac:dyDescent="0.15">
      <c r="A689" s="29"/>
      <c r="B689" s="2"/>
      <c r="C689" s="2"/>
      <c r="D689" s="2"/>
      <c r="E689" s="3"/>
      <c r="F689" s="3"/>
      <c r="G689" s="7"/>
      <c r="J689" s="7"/>
      <c r="K689" s="7"/>
      <c r="M689" s="3"/>
      <c r="N689" s="3"/>
    </row>
    <row r="690" spans="1:14" ht="13" x14ac:dyDescent="0.15">
      <c r="A690" s="29"/>
      <c r="B690" s="2"/>
      <c r="C690" s="2"/>
      <c r="D690" s="2"/>
      <c r="E690" s="3"/>
      <c r="F690" s="3"/>
      <c r="G690" s="7"/>
      <c r="J690" s="7"/>
      <c r="K690" s="7"/>
      <c r="M690" s="3"/>
      <c r="N690" s="3"/>
    </row>
    <row r="691" spans="1:14" ht="13" x14ac:dyDescent="0.15">
      <c r="A691" s="29"/>
      <c r="B691" s="2"/>
      <c r="C691" s="2"/>
      <c r="D691" s="2"/>
      <c r="E691" s="3"/>
      <c r="F691" s="3"/>
      <c r="G691" s="7"/>
      <c r="J691" s="7"/>
      <c r="K691" s="7"/>
      <c r="M691" s="3"/>
      <c r="N691" s="3"/>
    </row>
    <row r="692" spans="1:14" ht="13" x14ac:dyDescent="0.15">
      <c r="A692" s="29"/>
      <c r="B692" s="2"/>
      <c r="C692" s="2"/>
      <c r="D692" s="2"/>
      <c r="E692" s="3"/>
      <c r="F692" s="3"/>
      <c r="G692" s="7"/>
      <c r="J692" s="7"/>
      <c r="K692" s="7"/>
      <c r="M692" s="3"/>
      <c r="N692" s="3"/>
    </row>
    <row r="693" spans="1:14" ht="13" x14ac:dyDescent="0.15">
      <c r="A693" s="29"/>
      <c r="B693" s="2"/>
      <c r="C693" s="2"/>
      <c r="D693" s="2"/>
      <c r="E693" s="3"/>
      <c r="F693" s="3"/>
      <c r="G693" s="7"/>
      <c r="J693" s="7"/>
      <c r="K693" s="7"/>
      <c r="M693" s="3"/>
      <c r="N693" s="3"/>
    </row>
    <row r="694" spans="1:14" ht="13" x14ac:dyDescent="0.15">
      <c r="A694" s="29"/>
      <c r="B694" s="2"/>
      <c r="C694" s="2"/>
      <c r="D694" s="2"/>
      <c r="E694" s="3"/>
      <c r="F694" s="3"/>
      <c r="G694" s="7"/>
      <c r="J694" s="7"/>
      <c r="K694" s="7"/>
      <c r="M694" s="3"/>
      <c r="N694" s="3"/>
    </row>
    <row r="695" spans="1:14" ht="13" x14ac:dyDescent="0.15">
      <c r="A695" s="29"/>
      <c r="B695" s="2"/>
      <c r="C695" s="2"/>
      <c r="D695" s="2"/>
      <c r="E695" s="3"/>
      <c r="F695" s="3"/>
      <c r="G695" s="7"/>
      <c r="J695" s="7"/>
      <c r="K695" s="7"/>
      <c r="M695" s="3"/>
      <c r="N695" s="3"/>
    </row>
    <row r="696" spans="1:14" ht="13" x14ac:dyDescent="0.15">
      <c r="A696" s="29"/>
      <c r="B696" s="2"/>
      <c r="C696" s="2"/>
      <c r="D696" s="2"/>
      <c r="E696" s="3"/>
      <c r="F696" s="3"/>
      <c r="G696" s="7"/>
      <c r="J696" s="7"/>
      <c r="K696" s="7"/>
      <c r="M696" s="3"/>
      <c r="N696" s="3"/>
    </row>
    <row r="697" spans="1:14" ht="13" x14ac:dyDescent="0.15">
      <c r="A697" s="29"/>
      <c r="B697" s="2"/>
      <c r="C697" s="2"/>
      <c r="D697" s="2"/>
      <c r="E697" s="3"/>
      <c r="F697" s="3"/>
      <c r="G697" s="7"/>
      <c r="J697" s="7"/>
      <c r="K697" s="7"/>
      <c r="M697" s="3"/>
      <c r="N697" s="3"/>
    </row>
    <row r="698" spans="1:14" ht="13" x14ac:dyDescent="0.15">
      <c r="A698" s="29"/>
      <c r="B698" s="2"/>
      <c r="C698" s="2"/>
      <c r="D698" s="2"/>
      <c r="E698" s="3"/>
      <c r="F698" s="3"/>
      <c r="G698" s="7"/>
      <c r="J698" s="7"/>
      <c r="K698" s="7"/>
      <c r="M698" s="3"/>
      <c r="N698" s="3"/>
    </row>
    <row r="699" spans="1:14" ht="13" x14ac:dyDescent="0.15">
      <c r="A699" s="29"/>
      <c r="B699" s="2"/>
      <c r="C699" s="2"/>
      <c r="D699" s="2"/>
      <c r="E699" s="3"/>
      <c r="F699" s="3"/>
      <c r="G699" s="7"/>
      <c r="J699" s="7"/>
      <c r="K699" s="7"/>
      <c r="M699" s="3"/>
      <c r="N699" s="3"/>
    </row>
    <row r="700" spans="1:14" ht="13" x14ac:dyDescent="0.15">
      <c r="A700" s="29"/>
      <c r="B700" s="2"/>
      <c r="C700" s="2"/>
      <c r="D700" s="2"/>
      <c r="E700" s="3"/>
      <c r="F700" s="3"/>
      <c r="G700" s="7"/>
      <c r="J700" s="7"/>
      <c r="K700" s="7"/>
      <c r="M700" s="3"/>
      <c r="N700" s="3"/>
    </row>
    <row r="701" spans="1:14" ht="13" x14ac:dyDescent="0.15">
      <c r="A701" s="29"/>
      <c r="B701" s="2"/>
      <c r="C701" s="2"/>
      <c r="D701" s="2"/>
      <c r="E701" s="3"/>
      <c r="F701" s="3"/>
      <c r="G701" s="7"/>
      <c r="J701" s="7"/>
      <c r="K701" s="7"/>
      <c r="M701" s="3"/>
      <c r="N701" s="3"/>
    </row>
    <row r="702" spans="1:14" ht="13" x14ac:dyDescent="0.15">
      <c r="A702" s="29"/>
      <c r="B702" s="2"/>
      <c r="C702" s="2"/>
      <c r="D702" s="2"/>
      <c r="E702" s="3"/>
      <c r="F702" s="3"/>
      <c r="G702" s="7"/>
      <c r="J702" s="7"/>
      <c r="K702" s="7"/>
      <c r="M702" s="3"/>
      <c r="N702" s="3"/>
    </row>
    <row r="703" spans="1:14" ht="13" x14ac:dyDescent="0.15">
      <c r="A703" s="29"/>
      <c r="B703" s="2"/>
      <c r="C703" s="2"/>
      <c r="D703" s="2"/>
      <c r="E703" s="3"/>
      <c r="F703" s="3"/>
      <c r="G703" s="7"/>
      <c r="J703" s="7"/>
      <c r="K703" s="7"/>
      <c r="M703" s="3"/>
      <c r="N703" s="3"/>
    </row>
    <row r="704" spans="1:14" ht="13" x14ac:dyDescent="0.15">
      <c r="A704" s="29"/>
      <c r="B704" s="2"/>
      <c r="C704" s="2"/>
      <c r="D704" s="2"/>
      <c r="E704" s="3"/>
      <c r="F704" s="3"/>
      <c r="G704" s="7"/>
      <c r="J704" s="7"/>
      <c r="K704" s="7"/>
      <c r="M704" s="3"/>
      <c r="N704" s="3"/>
    </row>
    <row r="705" spans="1:14" ht="13" x14ac:dyDescent="0.15">
      <c r="A705" s="29"/>
      <c r="B705" s="2"/>
      <c r="C705" s="2"/>
      <c r="D705" s="2"/>
      <c r="E705" s="3"/>
      <c r="F705" s="3"/>
      <c r="G705" s="7"/>
      <c r="J705" s="7"/>
      <c r="K705" s="7"/>
      <c r="M705" s="3"/>
      <c r="N705" s="3"/>
    </row>
    <row r="706" spans="1:14" ht="13" x14ac:dyDescent="0.15">
      <c r="A706" s="29"/>
      <c r="B706" s="2"/>
      <c r="C706" s="2"/>
      <c r="D706" s="2"/>
      <c r="E706" s="3"/>
      <c r="F706" s="3"/>
      <c r="G706" s="7"/>
      <c r="J706" s="7"/>
      <c r="K706" s="7"/>
      <c r="M706" s="3"/>
      <c r="N706" s="3"/>
    </row>
    <row r="707" spans="1:14" ht="13" x14ac:dyDescent="0.15">
      <c r="A707" s="29"/>
      <c r="B707" s="2"/>
      <c r="C707" s="2"/>
      <c r="D707" s="2"/>
      <c r="E707" s="3"/>
      <c r="F707" s="3"/>
      <c r="G707" s="7"/>
      <c r="J707" s="7"/>
      <c r="K707" s="7"/>
      <c r="M707" s="3"/>
      <c r="N707" s="3"/>
    </row>
    <row r="708" spans="1:14" ht="13" x14ac:dyDescent="0.15">
      <c r="A708" s="29"/>
      <c r="B708" s="2"/>
      <c r="C708" s="2"/>
      <c r="D708" s="2"/>
      <c r="E708" s="3"/>
      <c r="F708" s="3"/>
      <c r="G708" s="7"/>
      <c r="J708" s="7"/>
      <c r="K708" s="7"/>
      <c r="M708" s="3"/>
      <c r="N708" s="3"/>
    </row>
    <row r="709" spans="1:14" ht="13" x14ac:dyDescent="0.15">
      <c r="A709" s="29"/>
      <c r="B709" s="2"/>
      <c r="C709" s="2"/>
      <c r="D709" s="2"/>
      <c r="E709" s="3"/>
      <c r="F709" s="3"/>
      <c r="G709" s="7"/>
      <c r="J709" s="7"/>
      <c r="K709" s="7"/>
      <c r="M709" s="3"/>
      <c r="N709" s="3"/>
    </row>
    <row r="710" spans="1:14" ht="13" x14ac:dyDescent="0.15">
      <c r="A710" s="29"/>
      <c r="B710" s="2"/>
      <c r="C710" s="2"/>
      <c r="D710" s="2"/>
      <c r="E710" s="3"/>
      <c r="F710" s="3"/>
      <c r="G710" s="7"/>
      <c r="J710" s="7"/>
      <c r="K710" s="7"/>
      <c r="M710" s="3"/>
      <c r="N710" s="3"/>
    </row>
    <row r="711" spans="1:14" ht="13" x14ac:dyDescent="0.15">
      <c r="A711" s="29"/>
      <c r="B711" s="2"/>
      <c r="C711" s="2"/>
      <c r="D711" s="2"/>
      <c r="E711" s="3"/>
      <c r="F711" s="3"/>
      <c r="G711" s="7"/>
      <c r="J711" s="7"/>
      <c r="K711" s="7"/>
      <c r="M711" s="3"/>
      <c r="N711" s="3"/>
    </row>
    <row r="712" spans="1:14" ht="13" x14ac:dyDescent="0.15">
      <c r="A712" s="29"/>
      <c r="B712" s="2"/>
      <c r="C712" s="2"/>
      <c r="D712" s="2"/>
      <c r="E712" s="3"/>
      <c r="F712" s="3"/>
      <c r="G712" s="7"/>
      <c r="J712" s="7"/>
      <c r="K712" s="7"/>
      <c r="M712" s="3"/>
      <c r="N712" s="3"/>
    </row>
    <row r="713" spans="1:14" ht="13" x14ac:dyDescent="0.15">
      <c r="A713" s="29"/>
      <c r="B713" s="2"/>
      <c r="C713" s="2"/>
      <c r="D713" s="2"/>
      <c r="E713" s="3"/>
      <c r="F713" s="3"/>
      <c r="G713" s="7"/>
      <c r="J713" s="7"/>
      <c r="K713" s="7"/>
      <c r="M713" s="3"/>
      <c r="N713" s="3"/>
    </row>
    <row r="714" spans="1:14" ht="13" x14ac:dyDescent="0.15">
      <c r="A714" s="29"/>
      <c r="B714" s="2"/>
      <c r="C714" s="2"/>
      <c r="D714" s="2"/>
      <c r="E714" s="3"/>
      <c r="F714" s="3"/>
      <c r="G714" s="7"/>
      <c r="J714" s="7"/>
      <c r="K714" s="7"/>
      <c r="M714" s="3"/>
      <c r="N714" s="3"/>
    </row>
    <row r="715" spans="1:14" ht="13" x14ac:dyDescent="0.15">
      <c r="A715" s="29"/>
      <c r="B715" s="2"/>
      <c r="C715" s="2"/>
      <c r="D715" s="2"/>
      <c r="E715" s="3"/>
      <c r="F715" s="3"/>
      <c r="G715" s="7"/>
      <c r="J715" s="7"/>
      <c r="K715" s="7"/>
      <c r="M715" s="3"/>
      <c r="N715" s="3"/>
    </row>
    <row r="716" spans="1:14" ht="13" x14ac:dyDescent="0.15">
      <c r="A716" s="29"/>
      <c r="B716" s="2"/>
      <c r="C716" s="2"/>
      <c r="D716" s="2"/>
      <c r="E716" s="3"/>
      <c r="F716" s="3"/>
      <c r="G716" s="7"/>
      <c r="J716" s="7"/>
      <c r="K716" s="7"/>
      <c r="M716" s="3"/>
      <c r="N716" s="3"/>
    </row>
    <row r="717" spans="1:14" ht="13" x14ac:dyDescent="0.15">
      <c r="A717" s="29"/>
      <c r="B717" s="2"/>
      <c r="C717" s="2"/>
      <c r="D717" s="2"/>
      <c r="E717" s="3"/>
      <c r="F717" s="3"/>
      <c r="G717" s="7"/>
      <c r="J717" s="7"/>
      <c r="K717" s="7"/>
      <c r="M717" s="3"/>
      <c r="N717" s="3"/>
    </row>
    <row r="718" spans="1:14" ht="13" x14ac:dyDescent="0.15">
      <c r="A718" s="29"/>
      <c r="B718" s="2"/>
      <c r="C718" s="2"/>
      <c r="D718" s="2"/>
      <c r="E718" s="3"/>
      <c r="F718" s="3"/>
      <c r="G718" s="7"/>
      <c r="J718" s="7"/>
      <c r="K718" s="7"/>
      <c r="M718" s="3"/>
      <c r="N718" s="3"/>
    </row>
    <row r="719" spans="1:14" ht="13" x14ac:dyDescent="0.15">
      <c r="A719" s="29"/>
      <c r="B719" s="2"/>
      <c r="C719" s="2"/>
      <c r="D719" s="2"/>
      <c r="E719" s="3"/>
      <c r="F719" s="3"/>
      <c r="G719" s="7"/>
      <c r="J719" s="7"/>
      <c r="K719" s="7"/>
      <c r="M719" s="3"/>
      <c r="N719" s="3"/>
    </row>
    <row r="720" spans="1:14" ht="13" x14ac:dyDescent="0.15">
      <c r="A720" s="29"/>
      <c r="B720" s="2"/>
      <c r="C720" s="2"/>
      <c r="D720" s="2"/>
      <c r="E720" s="3"/>
      <c r="F720" s="3"/>
      <c r="G720" s="7"/>
      <c r="J720" s="7"/>
      <c r="K720" s="7"/>
      <c r="M720" s="3"/>
      <c r="N720" s="3"/>
    </row>
    <row r="721" spans="1:14" ht="13" x14ac:dyDescent="0.15">
      <c r="A721" s="29"/>
      <c r="B721" s="2"/>
      <c r="C721" s="2"/>
      <c r="D721" s="2"/>
      <c r="E721" s="3"/>
      <c r="F721" s="3"/>
      <c r="G721" s="7"/>
      <c r="J721" s="7"/>
      <c r="K721" s="7"/>
      <c r="M721" s="3"/>
      <c r="N721" s="3"/>
    </row>
    <row r="722" spans="1:14" ht="13" x14ac:dyDescent="0.15">
      <c r="A722" s="29"/>
      <c r="B722" s="2"/>
      <c r="C722" s="2"/>
      <c r="D722" s="2"/>
      <c r="E722" s="3"/>
      <c r="F722" s="3"/>
      <c r="G722" s="7"/>
      <c r="J722" s="7"/>
      <c r="K722" s="7"/>
      <c r="M722" s="3"/>
      <c r="N722" s="3"/>
    </row>
    <row r="723" spans="1:14" ht="13" x14ac:dyDescent="0.15">
      <c r="A723" s="29"/>
      <c r="B723" s="2"/>
      <c r="C723" s="2"/>
      <c r="D723" s="2"/>
      <c r="E723" s="3"/>
      <c r="F723" s="3"/>
      <c r="G723" s="7"/>
      <c r="J723" s="7"/>
      <c r="K723" s="7"/>
      <c r="M723" s="3"/>
      <c r="N723" s="3"/>
    </row>
    <row r="724" spans="1:14" ht="13" x14ac:dyDescent="0.15">
      <c r="A724" s="29"/>
      <c r="B724" s="2"/>
      <c r="C724" s="2"/>
      <c r="D724" s="2"/>
      <c r="E724" s="3"/>
      <c r="F724" s="3"/>
      <c r="G724" s="7"/>
      <c r="J724" s="7"/>
      <c r="K724" s="7"/>
      <c r="M724" s="3"/>
      <c r="N724" s="3"/>
    </row>
    <row r="725" spans="1:14" ht="13" x14ac:dyDescent="0.15">
      <c r="A725" s="29"/>
      <c r="B725" s="2"/>
      <c r="C725" s="2"/>
      <c r="D725" s="2"/>
      <c r="E725" s="3"/>
      <c r="F725" s="3"/>
      <c r="G725" s="7"/>
      <c r="J725" s="7"/>
      <c r="K725" s="7"/>
      <c r="M725" s="3"/>
      <c r="N725" s="3"/>
    </row>
    <row r="726" spans="1:14" ht="13" x14ac:dyDescent="0.15">
      <c r="A726" s="29"/>
      <c r="B726" s="2"/>
      <c r="C726" s="2"/>
      <c r="D726" s="2"/>
      <c r="E726" s="3"/>
      <c r="F726" s="3"/>
      <c r="G726" s="7"/>
      <c r="J726" s="7"/>
      <c r="K726" s="7"/>
      <c r="M726" s="3"/>
      <c r="N726" s="3"/>
    </row>
    <row r="727" spans="1:14" ht="13" x14ac:dyDescent="0.15">
      <c r="A727" s="29"/>
      <c r="B727" s="2"/>
      <c r="C727" s="2"/>
      <c r="D727" s="2"/>
      <c r="E727" s="3"/>
      <c r="F727" s="3"/>
      <c r="G727" s="7"/>
      <c r="J727" s="7"/>
      <c r="K727" s="7"/>
      <c r="M727" s="3"/>
      <c r="N727" s="3"/>
    </row>
    <row r="728" spans="1:14" ht="13" x14ac:dyDescent="0.15">
      <c r="A728" s="29"/>
      <c r="B728" s="2"/>
      <c r="C728" s="2"/>
      <c r="D728" s="2"/>
      <c r="E728" s="3"/>
      <c r="F728" s="3"/>
      <c r="G728" s="7"/>
      <c r="J728" s="7"/>
      <c r="K728" s="7"/>
      <c r="M728" s="3"/>
      <c r="N728" s="3"/>
    </row>
    <row r="729" spans="1:14" ht="13" x14ac:dyDescent="0.15">
      <c r="A729" s="29"/>
      <c r="B729" s="2"/>
      <c r="C729" s="2"/>
      <c r="D729" s="2"/>
      <c r="E729" s="3"/>
      <c r="F729" s="3"/>
      <c r="G729" s="7"/>
      <c r="J729" s="7"/>
      <c r="K729" s="7"/>
      <c r="M729" s="3"/>
      <c r="N729" s="3"/>
    </row>
    <row r="730" spans="1:14" ht="13" x14ac:dyDescent="0.15">
      <c r="A730" s="29"/>
      <c r="B730" s="2"/>
      <c r="C730" s="2"/>
      <c r="D730" s="2"/>
      <c r="E730" s="3"/>
      <c r="F730" s="3"/>
      <c r="G730" s="7"/>
      <c r="J730" s="7"/>
      <c r="K730" s="7"/>
      <c r="M730" s="3"/>
      <c r="N730" s="3"/>
    </row>
    <row r="731" spans="1:14" ht="13" x14ac:dyDescent="0.15">
      <c r="A731" s="29"/>
      <c r="B731" s="2"/>
      <c r="C731" s="2"/>
      <c r="D731" s="2"/>
      <c r="E731" s="3"/>
      <c r="F731" s="3"/>
      <c r="G731" s="7"/>
      <c r="J731" s="7"/>
      <c r="K731" s="7"/>
      <c r="M731" s="3"/>
      <c r="N731" s="3"/>
    </row>
    <row r="732" spans="1:14" ht="13" x14ac:dyDescent="0.15">
      <c r="A732" s="29"/>
      <c r="B732" s="2"/>
      <c r="C732" s="2"/>
      <c r="D732" s="2"/>
      <c r="E732" s="3"/>
      <c r="F732" s="3"/>
      <c r="G732" s="7"/>
      <c r="J732" s="7"/>
      <c r="K732" s="7"/>
      <c r="M732" s="3"/>
      <c r="N732" s="3"/>
    </row>
    <row r="733" spans="1:14" ht="13" x14ac:dyDescent="0.15">
      <c r="A733" s="29"/>
      <c r="B733" s="2"/>
      <c r="C733" s="2"/>
      <c r="D733" s="2"/>
      <c r="E733" s="3"/>
      <c r="F733" s="3"/>
      <c r="G733" s="7"/>
      <c r="J733" s="7"/>
      <c r="K733" s="7"/>
      <c r="M733" s="3"/>
      <c r="N733" s="3"/>
    </row>
    <row r="734" spans="1:14" ht="13" x14ac:dyDescent="0.15">
      <c r="A734" s="29"/>
      <c r="B734" s="2"/>
      <c r="C734" s="2"/>
      <c r="D734" s="2"/>
      <c r="E734" s="3"/>
      <c r="F734" s="3"/>
      <c r="G734" s="7"/>
      <c r="J734" s="7"/>
      <c r="K734" s="7"/>
      <c r="M734" s="3"/>
      <c r="N734" s="3"/>
    </row>
    <row r="735" spans="1:14" ht="13" x14ac:dyDescent="0.15">
      <c r="A735" s="29"/>
      <c r="B735" s="2"/>
      <c r="C735" s="2"/>
      <c r="D735" s="2"/>
      <c r="E735" s="3"/>
      <c r="F735" s="3"/>
      <c r="G735" s="7"/>
      <c r="J735" s="7"/>
      <c r="K735" s="7"/>
      <c r="M735" s="3"/>
      <c r="N735" s="3"/>
    </row>
    <row r="736" spans="1:14" ht="13" x14ac:dyDescent="0.15">
      <c r="A736" s="29"/>
      <c r="B736" s="2"/>
      <c r="C736" s="2"/>
      <c r="D736" s="2"/>
      <c r="E736" s="3"/>
      <c r="F736" s="3"/>
      <c r="G736" s="7"/>
      <c r="J736" s="7"/>
      <c r="K736" s="7"/>
      <c r="M736" s="3"/>
      <c r="N736" s="3"/>
    </row>
    <row r="737" spans="1:14" ht="13" x14ac:dyDescent="0.15">
      <c r="A737" s="29"/>
      <c r="B737" s="2"/>
      <c r="C737" s="2"/>
      <c r="D737" s="2"/>
      <c r="E737" s="3"/>
      <c r="F737" s="3"/>
      <c r="G737" s="7"/>
      <c r="J737" s="7"/>
      <c r="K737" s="7"/>
      <c r="M737" s="3"/>
      <c r="N737" s="3"/>
    </row>
    <row r="738" spans="1:14" ht="13" x14ac:dyDescent="0.15">
      <c r="A738" s="29"/>
      <c r="B738" s="2"/>
      <c r="C738" s="2"/>
      <c r="D738" s="2"/>
      <c r="E738" s="3"/>
      <c r="F738" s="3"/>
      <c r="G738" s="7"/>
      <c r="J738" s="7"/>
      <c r="K738" s="7"/>
      <c r="M738" s="3"/>
      <c r="N738" s="3"/>
    </row>
    <row r="739" spans="1:14" ht="13" x14ac:dyDescent="0.15">
      <c r="A739" s="29"/>
      <c r="B739" s="2"/>
      <c r="C739" s="2"/>
      <c r="D739" s="2"/>
      <c r="E739" s="3"/>
      <c r="F739" s="3"/>
      <c r="G739" s="7"/>
      <c r="J739" s="7"/>
      <c r="K739" s="7"/>
      <c r="M739" s="3"/>
      <c r="N739" s="3"/>
    </row>
    <row r="740" spans="1:14" ht="13" x14ac:dyDescent="0.15">
      <c r="A740" s="29"/>
      <c r="B740" s="2"/>
      <c r="C740" s="2"/>
      <c r="D740" s="2"/>
      <c r="E740" s="3"/>
      <c r="F740" s="3"/>
      <c r="G740" s="7"/>
      <c r="J740" s="7"/>
      <c r="K740" s="7"/>
      <c r="M740" s="3"/>
      <c r="N740" s="3"/>
    </row>
    <row r="741" spans="1:14" ht="13" x14ac:dyDescent="0.15">
      <c r="A741" s="29"/>
      <c r="B741" s="2"/>
      <c r="C741" s="2"/>
      <c r="D741" s="2"/>
      <c r="E741" s="3"/>
      <c r="F741" s="3"/>
      <c r="G741" s="7"/>
      <c r="J741" s="7"/>
      <c r="K741" s="7"/>
      <c r="M741" s="3"/>
      <c r="N741" s="3"/>
    </row>
    <row r="742" spans="1:14" ht="13" x14ac:dyDescent="0.15">
      <c r="A742" s="29"/>
      <c r="B742" s="2"/>
      <c r="C742" s="2"/>
      <c r="D742" s="2"/>
      <c r="E742" s="3"/>
      <c r="F742" s="3"/>
      <c r="G742" s="7"/>
      <c r="J742" s="7"/>
      <c r="K742" s="7"/>
      <c r="M742" s="3"/>
      <c r="N742" s="3"/>
    </row>
    <row r="743" spans="1:14" ht="13" x14ac:dyDescent="0.15">
      <c r="A743" s="29"/>
      <c r="B743" s="2"/>
      <c r="C743" s="2"/>
      <c r="D743" s="2"/>
      <c r="E743" s="3"/>
      <c r="F743" s="3"/>
      <c r="G743" s="7"/>
      <c r="J743" s="7"/>
      <c r="K743" s="7"/>
      <c r="M743" s="3"/>
      <c r="N743" s="3"/>
    </row>
    <row r="744" spans="1:14" ht="13" x14ac:dyDescent="0.15">
      <c r="A744" s="29"/>
      <c r="B744" s="2"/>
      <c r="C744" s="2"/>
      <c r="D744" s="2"/>
      <c r="E744" s="3"/>
      <c r="F744" s="3"/>
      <c r="G744" s="7"/>
      <c r="J744" s="7"/>
      <c r="K744" s="7"/>
      <c r="M744" s="3"/>
      <c r="N744" s="3"/>
    </row>
    <row r="745" spans="1:14" ht="13" x14ac:dyDescent="0.15">
      <c r="A745" s="29"/>
      <c r="B745" s="2"/>
      <c r="C745" s="2"/>
      <c r="D745" s="2"/>
      <c r="E745" s="3"/>
      <c r="F745" s="3"/>
      <c r="G745" s="7"/>
      <c r="J745" s="7"/>
      <c r="K745" s="7"/>
      <c r="M745" s="3"/>
      <c r="N745" s="3"/>
    </row>
    <row r="746" spans="1:14" ht="13" x14ac:dyDescent="0.15">
      <c r="A746" s="29"/>
      <c r="B746" s="2"/>
      <c r="C746" s="2"/>
      <c r="D746" s="2"/>
      <c r="E746" s="3"/>
      <c r="F746" s="3"/>
      <c r="G746" s="7"/>
      <c r="J746" s="7"/>
      <c r="K746" s="7"/>
      <c r="M746" s="3"/>
      <c r="N746" s="3"/>
    </row>
    <row r="747" spans="1:14" ht="13" x14ac:dyDescent="0.15">
      <c r="A747" s="29"/>
      <c r="B747" s="2"/>
      <c r="C747" s="2"/>
      <c r="D747" s="2"/>
      <c r="E747" s="3"/>
      <c r="F747" s="3"/>
      <c r="G747" s="7"/>
      <c r="J747" s="7"/>
      <c r="K747" s="7"/>
      <c r="M747" s="3"/>
      <c r="N747" s="3"/>
    </row>
    <row r="748" spans="1:14" ht="13" x14ac:dyDescent="0.15">
      <c r="A748" s="29"/>
      <c r="B748" s="2"/>
      <c r="C748" s="2"/>
      <c r="D748" s="2"/>
      <c r="E748" s="3"/>
      <c r="F748" s="3"/>
      <c r="G748" s="7"/>
      <c r="J748" s="7"/>
      <c r="K748" s="7"/>
      <c r="M748" s="3"/>
      <c r="N748" s="3"/>
    </row>
    <row r="749" spans="1:14" ht="13" x14ac:dyDescent="0.15">
      <c r="A749" s="29"/>
      <c r="B749" s="2"/>
      <c r="C749" s="2"/>
      <c r="D749" s="2"/>
      <c r="E749" s="3"/>
      <c r="F749" s="3"/>
      <c r="G749" s="7"/>
      <c r="J749" s="7"/>
      <c r="K749" s="7"/>
      <c r="M749" s="3"/>
      <c r="N749" s="3"/>
    </row>
    <row r="750" spans="1:14" ht="13" x14ac:dyDescent="0.15">
      <c r="A750" s="29"/>
      <c r="B750" s="2"/>
      <c r="C750" s="2"/>
      <c r="D750" s="2"/>
      <c r="E750" s="3"/>
      <c r="F750" s="3"/>
      <c r="G750" s="7"/>
      <c r="J750" s="7"/>
      <c r="K750" s="7"/>
      <c r="M750" s="3"/>
      <c r="N750" s="3"/>
    </row>
    <row r="751" spans="1:14" ht="13" x14ac:dyDescent="0.15">
      <c r="A751" s="29"/>
      <c r="B751" s="2"/>
      <c r="C751" s="2"/>
      <c r="D751" s="2"/>
      <c r="E751" s="3"/>
      <c r="F751" s="3"/>
      <c r="G751" s="7"/>
      <c r="J751" s="7"/>
      <c r="K751" s="7"/>
      <c r="M751" s="3"/>
      <c r="N751" s="3"/>
    </row>
    <row r="752" spans="1:14" ht="13" x14ac:dyDescent="0.15">
      <c r="A752" s="29"/>
      <c r="B752" s="2"/>
      <c r="C752" s="2"/>
      <c r="D752" s="2"/>
      <c r="E752" s="3"/>
      <c r="F752" s="3"/>
      <c r="G752" s="7"/>
      <c r="J752" s="7"/>
      <c r="K752" s="7"/>
      <c r="M752" s="3"/>
      <c r="N752" s="3"/>
    </row>
    <row r="753" spans="1:14" ht="13" x14ac:dyDescent="0.15">
      <c r="A753" s="29"/>
      <c r="B753" s="2"/>
      <c r="C753" s="2"/>
      <c r="D753" s="2"/>
      <c r="E753" s="3"/>
      <c r="F753" s="3"/>
      <c r="G753" s="7"/>
      <c r="J753" s="7"/>
      <c r="K753" s="7"/>
      <c r="M753" s="3"/>
      <c r="N753" s="3"/>
    </row>
    <row r="754" spans="1:14" ht="13" x14ac:dyDescent="0.15">
      <c r="A754" s="29"/>
      <c r="B754" s="2"/>
      <c r="C754" s="2"/>
      <c r="D754" s="2"/>
      <c r="E754" s="3"/>
      <c r="F754" s="3"/>
      <c r="G754" s="7"/>
      <c r="J754" s="7"/>
      <c r="K754" s="7"/>
      <c r="M754" s="3"/>
      <c r="N754" s="3"/>
    </row>
    <row r="755" spans="1:14" ht="13" x14ac:dyDescent="0.15">
      <c r="A755" s="29"/>
      <c r="B755" s="2"/>
      <c r="C755" s="2"/>
      <c r="D755" s="2"/>
      <c r="E755" s="3"/>
      <c r="F755" s="3"/>
      <c r="G755" s="7"/>
      <c r="J755" s="7"/>
      <c r="K755" s="7"/>
      <c r="M755" s="3"/>
      <c r="N755" s="3"/>
    </row>
    <row r="756" spans="1:14" ht="13" x14ac:dyDescent="0.15">
      <c r="A756" s="29"/>
      <c r="B756" s="2"/>
      <c r="C756" s="2"/>
      <c r="D756" s="2"/>
      <c r="E756" s="3"/>
      <c r="F756" s="3"/>
      <c r="G756" s="7"/>
      <c r="J756" s="7"/>
      <c r="K756" s="7"/>
      <c r="M756" s="3"/>
      <c r="N756" s="3"/>
    </row>
    <row r="757" spans="1:14" ht="13" x14ac:dyDescent="0.15">
      <c r="A757" s="29"/>
      <c r="B757" s="2"/>
      <c r="C757" s="2"/>
      <c r="D757" s="2"/>
      <c r="E757" s="3"/>
      <c r="F757" s="3"/>
      <c r="G757" s="7"/>
      <c r="J757" s="7"/>
      <c r="K757" s="7"/>
      <c r="M757" s="3"/>
      <c r="N757" s="3"/>
    </row>
    <row r="758" spans="1:14" ht="13" x14ac:dyDescent="0.15">
      <c r="A758" s="29"/>
      <c r="B758" s="2"/>
      <c r="C758" s="2"/>
      <c r="D758" s="2"/>
      <c r="E758" s="3"/>
      <c r="F758" s="3"/>
      <c r="G758" s="7"/>
      <c r="J758" s="7"/>
      <c r="K758" s="7"/>
      <c r="M758" s="3"/>
      <c r="N758" s="3"/>
    </row>
    <row r="759" spans="1:14" ht="13" x14ac:dyDescent="0.15">
      <c r="A759" s="29"/>
      <c r="B759" s="2"/>
      <c r="C759" s="2"/>
      <c r="D759" s="2"/>
      <c r="E759" s="3"/>
      <c r="F759" s="3"/>
      <c r="G759" s="7"/>
      <c r="J759" s="7"/>
      <c r="K759" s="7"/>
      <c r="M759" s="3"/>
      <c r="N759" s="3"/>
    </row>
    <row r="760" spans="1:14" ht="13" x14ac:dyDescent="0.15">
      <c r="A760" s="29"/>
      <c r="B760" s="2"/>
      <c r="C760" s="2"/>
      <c r="D760" s="2"/>
      <c r="E760" s="3"/>
      <c r="F760" s="3"/>
      <c r="G760" s="7"/>
      <c r="J760" s="7"/>
      <c r="K760" s="7"/>
      <c r="M760" s="3"/>
      <c r="N760" s="3"/>
    </row>
    <row r="761" spans="1:14" ht="13" x14ac:dyDescent="0.15">
      <c r="A761" s="29"/>
      <c r="B761" s="2"/>
      <c r="C761" s="2"/>
      <c r="D761" s="2"/>
      <c r="E761" s="3"/>
      <c r="F761" s="3"/>
      <c r="G761" s="7"/>
      <c r="J761" s="7"/>
      <c r="K761" s="7"/>
      <c r="M761" s="3"/>
      <c r="N761" s="3"/>
    </row>
    <row r="762" spans="1:14" ht="13" x14ac:dyDescent="0.15">
      <c r="A762" s="29"/>
      <c r="B762" s="2"/>
      <c r="C762" s="2"/>
      <c r="D762" s="2"/>
      <c r="E762" s="3"/>
      <c r="F762" s="3"/>
      <c r="G762" s="7"/>
      <c r="J762" s="7"/>
      <c r="K762" s="7"/>
      <c r="M762" s="3"/>
      <c r="N762" s="3"/>
    </row>
    <row r="763" spans="1:14" ht="13" x14ac:dyDescent="0.15">
      <c r="A763" s="29"/>
      <c r="B763" s="2"/>
      <c r="C763" s="2"/>
      <c r="D763" s="2"/>
      <c r="E763" s="3"/>
      <c r="F763" s="3"/>
      <c r="G763" s="7"/>
      <c r="J763" s="7"/>
      <c r="K763" s="7"/>
      <c r="M763" s="3"/>
      <c r="N763" s="3"/>
    </row>
    <row r="764" spans="1:14" ht="13" x14ac:dyDescent="0.15">
      <c r="A764" s="29"/>
      <c r="B764" s="2"/>
      <c r="C764" s="2"/>
      <c r="D764" s="2"/>
      <c r="E764" s="3"/>
      <c r="F764" s="3"/>
      <c r="G764" s="7"/>
      <c r="J764" s="7"/>
      <c r="K764" s="7"/>
      <c r="M764" s="3"/>
      <c r="N764" s="3"/>
    </row>
    <row r="765" spans="1:14" ht="13" x14ac:dyDescent="0.15">
      <c r="A765" s="29"/>
      <c r="B765" s="2"/>
      <c r="C765" s="2"/>
      <c r="D765" s="2"/>
      <c r="E765" s="3"/>
      <c r="F765" s="3"/>
      <c r="G765" s="7"/>
      <c r="J765" s="7"/>
      <c r="K765" s="7"/>
      <c r="M765" s="3"/>
      <c r="N765" s="3"/>
    </row>
    <row r="766" spans="1:14" ht="13" x14ac:dyDescent="0.15">
      <c r="A766" s="29"/>
      <c r="B766" s="2"/>
      <c r="C766" s="2"/>
      <c r="D766" s="2"/>
      <c r="E766" s="3"/>
      <c r="F766" s="3"/>
      <c r="G766" s="7"/>
      <c r="J766" s="7"/>
      <c r="K766" s="7"/>
      <c r="M766" s="3"/>
      <c r="N766" s="3"/>
    </row>
    <row r="767" spans="1:14" ht="13" x14ac:dyDescent="0.15">
      <c r="A767" s="29"/>
      <c r="B767" s="2"/>
      <c r="C767" s="2"/>
      <c r="D767" s="2"/>
      <c r="E767" s="3"/>
      <c r="F767" s="3"/>
      <c r="G767" s="7"/>
      <c r="J767" s="7"/>
      <c r="K767" s="7"/>
      <c r="M767" s="3"/>
      <c r="N767" s="3"/>
    </row>
    <row r="768" spans="1:14" ht="13" x14ac:dyDescent="0.15">
      <c r="A768" s="29"/>
      <c r="B768" s="2"/>
      <c r="C768" s="2"/>
      <c r="D768" s="2"/>
      <c r="E768" s="3"/>
      <c r="F768" s="3"/>
      <c r="G768" s="7"/>
      <c r="J768" s="7"/>
      <c r="K768" s="7"/>
      <c r="M768" s="3"/>
      <c r="N768" s="3"/>
    </row>
    <row r="769" spans="1:14" ht="13" x14ac:dyDescent="0.15">
      <c r="A769" s="29"/>
      <c r="B769" s="2"/>
      <c r="C769" s="2"/>
      <c r="D769" s="2"/>
      <c r="E769" s="3"/>
      <c r="F769" s="3"/>
      <c r="G769" s="7"/>
      <c r="J769" s="7"/>
      <c r="K769" s="7"/>
      <c r="M769" s="3"/>
      <c r="N769" s="3"/>
    </row>
    <row r="770" spans="1:14" ht="13" x14ac:dyDescent="0.15">
      <c r="A770" s="29"/>
      <c r="B770" s="2"/>
      <c r="C770" s="2"/>
      <c r="D770" s="2"/>
      <c r="E770" s="3"/>
      <c r="F770" s="3"/>
      <c r="G770" s="7"/>
      <c r="J770" s="7"/>
      <c r="K770" s="7"/>
      <c r="M770" s="3"/>
      <c r="N770" s="3"/>
    </row>
    <row r="771" spans="1:14" ht="13" x14ac:dyDescent="0.15">
      <c r="A771" s="29"/>
      <c r="B771" s="2"/>
      <c r="C771" s="2"/>
      <c r="D771" s="2"/>
      <c r="E771" s="3"/>
      <c r="F771" s="3"/>
      <c r="G771" s="7"/>
      <c r="J771" s="7"/>
      <c r="K771" s="7"/>
      <c r="M771" s="3"/>
      <c r="N771" s="3"/>
    </row>
    <row r="772" spans="1:14" ht="13" x14ac:dyDescent="0.15">
      <c r="A772" s="29"/>
      <c r="B772" s="2"/>
      <c r="C772" s="2"/>
      <c r="D772" s="2"/>
      <c r="E772" s="3"/>
      <c r="F772" s="3"/>
      <c r="G772" s="7"/>
      <c r="J772" s="7"/>
      <c r="K772" s="7"/>
      <c r="M772" s="3"/>
      <c r="N772" s="3"/>
    </row>
    <row r="773" spans="1:14" ht="13" x14ac:dyDescent="0.15">
      <c r="A773" s="29"/>
      <c r="B773" s="2"/>
      <c r="C773" s="2"/>
      <c r="D773" s="2"/>
      <c r="E773" s="3"/>
      <c r="F773" s="3"/>
      <c r="G773" s="7"/>
      <c r="J773" s="7"/>
      <c r="K773" s="7"/>
      <c r="M773" s="3"/>
      <c r="N773" s="3"/>
    </row>
    <row r="774" spans="1:14" ht="13" x14ac:dyDescent="0.15">
      <c r="A774" s="29"/>
      <c r="B774" s="2"/>
      <c r="C774" s="2"/>
      <c r="D774" s="2"/>
      <c r="E774" s="3"/>
      <c r="F774" s="3"/>
      <c r="G774" s="7"/>
      <c r="J774" s="7"/>
      <c r="K774" s="7"/>
      <c r="M774" s="3"/>
      <c r="N774" s="3"/>
    </row>
    <row r="775" spans="1:14" ht="13" x14ac:dyDescent="0.15">
      <c r="A775" s="29"/>
      <c r="B775" s="2"/>
      <c r="C775" s="2"/>
      <c r="D775" s="2"/>
      <c r="E775" s="3"/>
      <c r="F775" s="3"/>
      <c r="G775" s="7"/>
      <c r="J775" s="7"/>
      <c r="K775" s="7"/>
      <c r="M775" s="3"/>
      <c r="N775" s="3"/>
    </row>
    <row r="776" spans="1:14" ht="13" x14ac:dyDescent="0.15">
      <c r="A776" s="29"/>
      <c r="B776" s="2"/>
      <c r="C776" s="2"/>
      <c r="D776" s="2"/>
      <c r="E776" s="3"/>
      <c r="F776" s="3"/>
      <c r="G776" s="7"/>
      <c r="J776" s="7"/>
      <c r="K776" s="7"/>
      <c r="M776" s="3"/>
      <c r="N776" s="3"/>
    </row>
    <row r="777" spans="1:14" ht="13" x14ac:dyDescent="0.15">
      <c r="A777" s="29"/>
      <c r="B777" s="2"/>
      <c r="C777" s="2"/>
      <c r="D777" s="2"/>
      <c r="E777" s="3"/>
      <c r="F777" s="3"/>
      <c r="G777" s="7"/>
      <c r="J777" s="7"/>
      <c r="K777" s="7"/>
      <c r="M777" s="3"/>
      <c r="N777" s="3"/>
    </row>
    <row r="778" spans="1:14" ht="13" x14ac:dyDescent="0.15">
      <c r="A778" s="29"/>
      <c r="B778" s="2"/>
      <c r="C778" s="2"/>
      <c r="D778" s="2"/>
      <c r="E778" s="3"/>
      <c r="F778" s="3"/>
      <c r="G778" s="7"/>
      <c r="J778" s="7"/>
      <c r="K778" s="7"/>
      <c r="M778" s="3"/>
      <c r="N778" s="3"/>
    </row>
    <row r="779" spans="1:14" ht="13" x14ac:dyDescent="0.15">
      <c r="A779" s="29"/>
      <c r="B779" s="2"/>
      <c r="C779" s="2"/>
      <c r="D779" s="2"/>
      <c r="E779" s="3"/>
      <c r="F779" s="3"/>
      <c r="G779" s="7"/>
      <c r="J779" s="7"/>
      <c r="K779" s="7"/>
      <c r="M779" s="3"/>
      <c r="N779" s="3"/>
    </row>
    <row r="780" spans="1:14" ht="13" x14ac:dyDescent="0.15">
      <c r="A780" s="29"/>
      <c r="B780" s="2"/>
      <c r="C780" s="2"/>
      <c r="D780" s="2"/>
      <c r="E780" s="3"/>
      <c r="F780" s="3"/>
      <c r="G780" s="7"/>
      <c r="J780" s="7"/>
      <c r="K780" s="7"/>
      <c r="M780" s="3"/>
      <c r="N780" s="3"/>
    </row>
    <row r="781" spans="1:14" ht="13" x14ac:dyDescent="0.15">
      <c r="A781" s="29"/>
      <c r="B781" s="2"/>
      <c r="C781" s="2"/>
      <c r="D781" s="2"/>
      <c r="E781" s="3"/>
      <c r="F781" s="3"/>
      <c r="G781" s="7"/>
      <c r="J781" s="7"/>
      <c r="K781" s="7"/>
      <c r="M781" s="3"/>
      <c r="N781" s="3"/>
    </row>
    <row r="782" spans="1:14" ht="13" x14ac:dyDescent="0.15">
      <c r="A782" s="29"/>
      <c r="B782" s="2"/>
      <c r="C782" s="2"/>
      <c r="D782" s="2"/>
      <c r="E782" s="3"/>
      <c r="F782" s="3"/>
      <c r="G782" s="7"/>
      <c r="J782" s="7"/>
      <c r="K782" s="7"/>
      <c r="M782" s="3"/>
      <c r="N782" s="3"/>
    </row>
    <row r="783" spans="1:14" ht="13" x14ac:dyDescent="0.15">
      <c r="A783" s="29"/>
      <c r="B783" s="2"/>
      <c r="C783" s="2"/>
      <c r="D783" s="2"/>
      <c r="E783" s="3"/>
      <c r="F783" s="3"/>
      <c r="G783" s="7"/>
      <c r="J783" s="7"/>
      <c r="K783" s="7"/>
      <c r="M783" s="3"/>
      <c r="N783" s="3"/>
    </row>
    <row r="784" spans="1:14" ht="13" x14ac:dyDescent="0.15">
      <c r="A784" s="29"/>
      <c r="B784" s="2"/>
      <c r="C784" s="2"/>
      <c r="D784" s="2"/>
      <c r="E784" s="3"/>
      <c r="F784" s="3"/>
      <c r="G784" s="7"/>
      <c r="J784" s="7"/>
      <c r="K784" s="7"/>
      <c r="M784" s="3"/>
      <c r="N784" s="3"/>
    </row>
    <row r="785" spans="1:14" ht="13" x14ac:dyDescent="0.15">
      <c r="A785" s="29"/>
      <c r="B785" s="2"/>
      <c r="C785" s="2"/>
      <c r="D785" s="2"/>
      <c r="E785" s="3"/>
      <c r="F785" s="3"/>
      <c r="G785" s="7"/>
      <c r="J785" s="7"/>
      <c r="K785" s="7"/>
      <c r="M785" s="3"/>
      <c r="N785" s="3"/>
    </row>
    <row r="786" spans="1:14" ht="13" x14ac:dyDescent="0.15">
      <c r="A786" s="29"/>
      <c r="B786" s="2"/>
      <c r="C786" s="2"/>
      <c r="D786" s="2"/>
      <c r="E786" s="3"/>
      <c r="F786" s="3"/>
      <c r="G786" s="7"/>
      <c r="J786" s="7"/>
      <c r="K786" s="7"/>
      <c r="M786" s="3"/>
      <c r="N786" s="3"/>
    </row>
    <row r="787" spans="1:14" ht="13" x14ac:dyDescent="0.15">
      <c r="A787" s="29"/>
      <c r="B787" s="2"/>
      <c r="C787" s="2"/>
      <c r="D787" s="2"/>
      <c r="E787" s="3"/>
      <c r="F787" s="3"/>
      <c r="G787" s="7"/>
      <c r="J787" s="7"/>
      <c r="K787" s="7"/>
      <c r="M787" s="3"/>
      <c r="N787" s="3"/>
    </row>
    <row r="788" spans="1:14" ht="13" x14ac:dyDescent="0.15">
      <c r="A788" s="29"/>
      <c r="B788" s="2"/>
      <c r="C788" s="2"/>
      <c r="D788" s="2"/>
      <c r="E788" s="3"/>
      <c r="F788" s="3"/>
      <c r="G788" s="7"/>
      <c r="J788" s="7"/>
      <c r="K788" s="7"/>
      <c r="M788" s="3"/>
      <c r="N788" s="3"/>
    </row>
    <row r="789" spans="1:14" ht="13" x14ac:dyDescent="0.15">
      <c r="A789" s="29"/>
      <c r="B789" s="2"/>
      <c r="C789" s="2"/>
      <c r="D789" s="2"/>
      <c r="E789" s="3"/>
      <c r="F789" s="3"/>
      <c r="G789" s="7"/>
      <c r="J789" s="7"/>
      <c r="K789" s="7"/>
      <c r="M789" s="3"/>
      <c r="N789" s="3"/>
    </row>
    <row r="790" spans="1:14" ht="13" x14ac:dyDescent="0.15">
      <c r="A790" s="29"/>
      <c r="B790" s="2"/>
      <c r="C790" s="2"/>
      <c r="D790" s="2"/>
      <c r="E790" s="3"/>
      <c r="F790" s="3"/>
      <c r="G790" s="7"/>
      <c r="J790" s="7"/>
      <c r="K790" s="7"/>
      <c r="M790" s="3"/>
      <c r="N790" s="3"/>
    </row>
    <row r="791" spans="1:14" ht="13" x14ac:dyDescent="0.15">
      <c r="A791" s="29"/>
      <c r="B791" s="2"/>
      <c r="C791" s="2"/>
      <c r="D791" s="2"/>
      <c r="E791" s="3"/>
      <c r="F791" s="3"/>
      <c r="G791" s="7"/>
      <c r="J791" s="7"/>
      <c r="K791" s="7"/>
      <c r="M791" s="3"/>
      <c r="N791" s="3"/>
    </row>
    <row r="792" spans="1:14" ht="13" x14ac:dyDescent="0.15">
      <c r="A792" s="29"/>
      <c r="B792" s="2"/>
      <c r="C792" s="2"/>
      <c r="D792" s="2"/>
      <c r="E792" s="3"/>
      <c r="F792" s="3"/>
      <c r="G792" s="7"/>
      <c r="J792" s="7"/>
      <c r="K792" s="7"/>
      <c r="M792" s="3"/>
      <c r="N792" s="3"/>
    </row>
    <row r="793" spans="1:14" ht="13" x14ac:dyDescent="0.15">
      <c r="A793" s="29"/>
      <c r="B793" s="2"/>
      <c r="C793" s="2"/>
      <c r="D793" s="2"/>
      <c r="E793" s="3"/>
      <c r="F793" s="3"/>
      <c r="G793" s="7"/>
      <c r="J793" s="7"/>
      <c r="K793" s="7"/>
      <c r="M793" s="3"/>
      <c r="N793" s="3"/>
    </row>
    <row r="794" spans="1:14" ht="13" x14ac:dyDescent="0.15">
      <c r="A794" s="29"/>
      <c r="B794" s="2"/>
      <c r="C794" s="2"/>
      <c r="D794" s="2"/>
      <c r="E794" s="3"/>
      <c r="F794" s="3"/>
      <c r="G794" s="7"/>
      <c r="J794" s="7"/>
      <c r="K794" s="7"/>
      <c r="M794" s="3"/>
      <c r="N794" s="3"/>
    </row>
    <row r="795" spans="1:14" ht="13" x14ac:dyDescent="0.15">
      <c r="A795" s="29"/>
      <c r="B795" s="2"/>
      <c r="C795" s="2"/>
      <c r="D795" s="2"/>
      <c r="E795" s="3"/>
      <c r="F795" s="3"/>
      <c r="G795" s="7"/>
      <c r="J795" s="7"/>
      <c r="K795" s="7"/>
      <c r="M795" s="3"/>
      <c r="N795" s="3"/>
    </row>
    <row r="796" spans="1:14" ht="13" x14ac:dyDescent="0.15">
      <c r="A796" s="29"/>
      <c r="B796" s="2"/>
      <c r="C796" s="2"/>
      <c r="D796" s="2"/>
      <c r="E796" s="3"/>
      <c r="F796" s="3"/>
      <c r="G796" s="7"/>
      <c r="J796" s="7"/>
      <c r="K796" s="7"/>
      <c r="M796" s="3"/>
      <c r="N796" s="3"/>
    </row>
    <row r="797" spans="1:14" ht="13" x14ac:dyDescent="0.15">
      <c r="A797" s="29"/>
      <c r="B797" s="2"/>
      <c r="C797" s="2"/>
      <c r="D797" s="2"/>
      <c r="E797" s="3"/>
      <c r="F797" s="3"/>
      <c r="G797" s="7"/>
      <c r="J797" s="7"/>
      <c r="K797" s="7"/>
      <c r="M797" s="3"/>
      <c r="N797" s="3"/>
    </row>
    <row r="798" spans="1:14" ht="13" x14ac:dyDescent="0.15">
      <c r="A798" s="29"/>
      <c r="B798" s="2"/>
      <c r="C798" s="2"/>
      <c r="D798" s="2"/>
      <c r="E798" s="3"/>
      <c r="F798" s="3"/>
      <c r="G798" s="7"/>
      <c r="J798" s="7"/>
      <c r="K798" s="7"/>
      <c r="M798" s="3"/>
      <c r="N798" s="3"/>
    </row>
    <row r="799" spans="1:14" ht="13" x14ac:dyDescent="0.15">
      <c r="A799" s="29"/>
      <c r="B799" s="2"/>
      <c r="C799" s="2"/>
      <c r="D799" s="2"/>
      <c r="E799" s="3"/>
      <c r="F799" s="3"/>
      <c r="G799" s="7"/>
      <c r="J799" s="7"/>
      <c r="K799" s="7"/>
      <c r="M799" s="3"/>
      <c r="N799" s="3"/>
    </row>
    <row r="800" spans="1:14" ht="13" x14ac:dyDescent="0.15">
      <c r="A800" s="29"/>
      <c r="B800" s="2"/>
      <c r="C800" s="2"/>
      <c r="D800" s="2"/>
      <c r="E800" s="3"/>
      <c r="F800" s="3"/>
      <c r="G800" s="7"/>
      <c r="J800" s="7"/>
      <c r="K800" s="7"/>
      <c r="M800" s="3"/>
      <c r="N800" s="3"/>
    </row>
    <row r="801" spans="1:14" ht="13" x14ac:dyDescent="0.15">
      <c r="A801" s="29"/>
      <c r="B801" s="2"/>
      <c r="C801" s="2"/>
      <c r="D801" s="2"/>
      <c r="E801" s="3"/>
      <c r="F801" s="3"/>
      <c r="G801" s="7"/>
      <c r="J801" s="7"/>
      <c r="K801" s="7"/>
      <c r="M801" s="3"/>
      <c r="N801" s="3"/>
    </row>
    <row r="802" spans="1:14" ht="13" x14ac:dyDescent="0.15">
      <c r="A802" s="29"/>
      <c r="B802" s="2"/>
      <c r="C802" s="2"/>
      <c r="D802" s="2"/>
      <c r="E802" s="3"/>
      <c r="F802" s="3"/>
      <c r="G802" s="7"/>
      <c r="J802" s="7"/>
      <c r="K802" s="7"/>
      <c r="M802" s="3"/>
      <c r="N802" s="3"/>
    </row>
    <row r="803" spans="1:14" ht="13" x14ac:dyDescent="0.15">
      <c r="A803" s="29"/>
      <c r="B803" s="2"/>
      <c r="C803" s="2"/>
      <c r="D803" s="2"/>
      <c r="E803" s="3"/>
      <c r="F803" s="3"/>
      <c r="G803" s="7"/>
      <c r="J803" s="7"/>
      <c r="K803" s="7"/>
      <c r="M803" s="3"/>
      <c r="N803" s="3"/>
    </row>
    <row r="804" spans="1:14" ht="13" x14ac:dyDescent="0.15">
      <c r="A804" s="29"/>
      <c r="B804" s="2"/>
      <c r="C804" s="2"/>
      <c r="D804" s="2"/>
      <c r="E804" s="3"/>
      <c r="F804" s="3"/>
      <c r="G804" s="7"/>
      <c r="J804" s="7"/>
      <c r="K804" s="7"/>
      <c r="M804" s="3"/>
      <c r="N804" s="3"/>
    </row>
    <row r="805" spans="1:14" ht="13" x14ac:dyDescent="0.15">
      <c r="A805" s="29"/>
      <c r="B805" s="2"/>
      <c r="C805" s="2"/>
      <c r="D805" s="2"/>
      <c r="E805" s="3"/>
      <c r="F805" s="3"/>
      <c r="G805" s="7"/>
      <c r="J805" s="7"/>
      <c r="K805" s="7"/>
      <c r="M805" s="3"/>
      <c r="N805" s="3"/>
    </row>
    <row r="806" spans="1:14" ht="13" x14ac:dyDescent="0.15">
      <c r="A806" s="29"/>
      <c r="B806" s="2"/>
      <c r="C806" s="2"/>
      <c r="D806" s="2"/>
      <c r="E806" s="3"/>
      <c r="F806" s="3"/>
      <c r="G806" s="7"/>
      <c r="J806" s="7"/>
      <c r="K806" s="7"/>
      <c r="M806" s="3"/>
      <c r="N806" s="3"/>
    </row>
    <row r="807" spans="1:14" ht="13" x14ac:dyDescent="0.15">
      <c r="A807" s="29"/>
      <c r="B807" s="2"/>
      <c r="C807" s="2"/>
      <c r="D807" s="2"/>
      <c r="E807" s="3"/>
      <c r="F807" s="3"/>
      <c r="G807" s="7"/>
      <c r="J807" s="7"/>
      <c r="K807" s="7"/>
      <c r="M807" s="3"/>
      <c r="N807" s="3"/>
    </row>
    <row r="808" spans="1:14" ht="13" x14ac:dyDescent="0.15">
      <c r="A808" s="29"/>
      <c r="B808" s="2"/>
      <c r="C808" s="2"/>
      <c r="D808" s="2"/>
      <c r="E808" s="3"/>
      <c r="F808" s="3"/>
      <c r="G808" s="7"/>
      <c r="J808" s="7"/>
      <c r="K808" s="7"/>
      <c r="M808" s="3"/>
      <c r="N808" s="3"/>
    </row>
    <row r="809" spans="1:14" ht="13" x14ac:dyDescent="0.15">
      <c r="A809" s="29"/>
      <c r="B809" s="2"/>
      <c r="C809" s="2"/>
      <c r="D809" s="2"/>
      <c r="E809" s="3"/>
      <c r="F809" s="3"/>
      <c r="G809" s="7"/>
      <c r="J809" s="7"/>
      <c r="K809" s="7"/>
      <c r="M809" s="3"/>
      <c r="N809" s="3"/>
    </row>
    <row r="810" spans="1:14" ht="13" x14ac:dyDescent="0.15">
      <c r="A810" s="29"/>
      <c r="B810" s="2"/>
      <c r="C810" s="2"/>
      <c r="D810" s="2"/>
      <c r="E810" s="3"/>
      <c r="F810" s="3"/>
      <c r="G810" s="7"/>
      <c r="J810" s="7"/>
      <c r="K810" s="7"/>
      <c r="M810" s="3"/>
      <c r="N810" s="3"/>
    </row>
    <row r="811" spans="1:14" ht="13" x14ac:dyDescent="0.15">
      <c r="A811" s="29"/>
      <c r="B811" s="2"/>
      <c r="C811" s="2"/>
      <c r="D811" s="2"/>
      <c r="E811" s="3"/>
      <c r="F811" s="3"/>
      <c r="G811" s="7"/>
      <c r="J811" s="7"/>
      <c r="K811" s="7"/>
      <c r="M811" s="3"/>
      <c r="N811" s="3"/>
    </row>
    <row r="812" spans="1:14" ht="13" x14ac:dyDescent="0.15">
      <c r="A812" s="29"/>
      <c r="B812" s="2"/>
      <c r="C812" s="2"/>
      <c r="D812" s="2"/>
      <c r="E812" s="3"/>
      <c r="F812" s="3"/>
      <c r="G812" s="7"/>
      <c r="J812" s="7"/>
      <c r="K812" s="7"/>
      <c r="M812" s="3"/>
      <c r="N812" s="3"/>
    </row>
    <row r="813" spans="1:14" ht="13" x14ac:dyDescent="0.15">
      <c r="A813" s="29"/>
      <c r="B813" s="2"/>
      <c r="C813" s="2"/>
      <c r="D813" s="2"/>
      <c r="E813" s="3"/>
      <c r="F813" s="3"/>
      <c r="G813" s="7"/>
      <c r="J813" s="7"/>
      <c r="K813" s="7"/>
      <c r="M813" s="3"/>
      <c r="N813" s="3"/>
    </row>
    <row r="814" spans="1:14" ht="13" x14ac:dyDescent="0.15">
      <c r="A814" s="29"/>
      <c r="B814" s="2"/>
      <c r="C814" s="2"/>
      <c r="D814" s="2"/>
      <c r="E814" s="3"/>
      <c r="F814" s="3"/>
      <c r="G814" s="7"/>
      <c r="J814" s="7"/>
      <c r="K814" s="7"/>
      <c r="M814" s="3"/>
      <c r="N814" s="3"/>
    </row>
    <row r="815" spans="1:14" ht="13" x14ac:dyDescent="0.15">
      <c r="A815" s="29"/>
      <c r="B815" s="2"/>
      <c r="C815" s="2"/>
      <c r="D815" s="2"/>
      <c r="E815" s="3"/>
      <c r="F815" s="3"/>
      <c r="G815" s="7"/>
      <c r="J815" s="7"/>
      <c r="K815" s="7"/>
      <c r="M815" s="3"/>
      <c r="N815" s="3"/>
    </row>
    <row r="816" spans="1:14" ht="13" x14ac:dyDescent="0.15">
      <c r="A816" s="29"/>
      <c r="B816" s="2"/>
      <c r="C816" s="2"/>
      <c r="D816" s="2"/>
      <c r="E816" s="3"/>
      <c r="F816" s="3"/>
      <c r="G816" s="7"/>
      <c r="J816" s="7"/>
      <c r="K816" s="7"/>
      <c r="M816" s="3"/>
      <c r="N816" s="3"/>
    </row>
    <row r="817" spans="1:14" ht="13" x14ac:dyDescent="0.15">
      <c r="A817" s="29"/>
      <c r="B817" s="2"/>
      <c r="C817" s="2"/>
      <c r="D817" s="2"/>
      <c r="E817" s="3"/>
      <c r="F817" s="3"/>
      <c r="G817" s="7"/>
      <c r="J817" s="7"/>
      <c r="K817" s="7"/>
      <c r="M817" s="3"/>
      <c r="N817" s="3"/>
    </row>
    <row r="818" spans="1:14" ht="13" x14ac:dyDescent="0.15">
      <c r="A818" s="29"/>
      <c r="B818" s="2"/>
      <c r="C818" s="2"/>
      <c r="D818" s="2"/>
      <c r="E818" s="3"/>
      <c r="F818" s="3"/>
      <c r="G818" s="7"/>
      <c r="J818" s="7"/>
      <c r="K818" s="7"/>
      <c r="M818" s="3"/>
      <c r="N818" s="3"/>
    </row>
    <row r="819" spans="1:14" ht="13" x14ac:dyDescent="0.15">
      <c r="A819" s="29"/>
      <c r="B819" s="2"/>
      <c r="C819" s="2"/>
      <c r="D819" s="2"/>
      <c r="E819" s="3"/>
      <c r="F819" s="3"/>
      <c r="G819" s="7"/>
      <c r="J819" s="7"/>
      <c r="K819" s="7"/>
      <c r="M819" s="3"/>
      <c r="N819" s="3"/>
    </row>
    <row r="820" spans="1:14" ht="13" x14ac:dyDescent="0.15">
      <c r="A820" s="29"/>
      <c r="B820" s="2"/>
      <c r="C820" s="2"/>
      <c r="D820" s="2"/>
      <c r="E820" s="3"/>
      <c r="F820" s="3"/>
      <c r="G820" s="7"/>
      <c r="J820" s="7"/>
      <c r="K820" s="7"/>
      <c r="M820" s="3"/>
      <c r="N820" s="3"/>
    </row>
    <row r="821" spans="1:14" ht="13" x14ac:dyDescent="0.15">
      <c r="A821" s="29"/>
      <c r="B821" s="2"/>
      <c r="C821" s="2"/>
      <c r="D821" s="2"/>
      <c r="E821" s="3"/>
      <c r="F821" s="3"/>
      <c r="G821" s="7"/>
      <c r="J821" s="7"/>
      <c r="K821" s="7"/>
      <c r="M821" s="3"/>
      <c r="N821" s="3"/>
    </row>
    <row r="822" spans="1:14" ht="13" x14ac:dyDescent="0.15">
      <c r="A822" s="29"/>
      <c r="B822" s="2"/>
      <c r="C822" s="2"/>
      <c r="D822" s="2"/>
      <c r="E822" s="3"/>
      <c r="F822" s="3"/>
      <c r="G822" s="7"/>
      <c r="J822" s="7"/>
      <c r="K822" s="7"/>
      <c r="M822" s="3"/>
      <c r="N822" s="3"/>
    </row>
    <row r="823" spans="1:14" ht="13" x14ac:dyDescent="0.15">
      <c r="A823" s="29"/>
      <c r="B823" s="2"/>
      <c r="C823" s="2"/>
      <c r="D823" s="2"/>
      <c r="E823" s="3"/>
      <c r="F823" s="3"/>
      <c r="G823" s="7"/>
      <c r="J823" s="7"/>
      <c r="K823" s="7"/>
      <c r="M823" s="3"/>
      <c r="N823" s="3"/>
    </row>
    <row r="824" spans="1:14" ht="13" x14ac:dyDescent="0.15">
      <c r="A824" s="29"/>
      <c r="B824" s="2"/>
      <c r="C824" s="2"/>
      <c r="D824" s="2"/>
      <c r="E824" s="3"/>
      <c r="F824" s="3"/>
      <c r="G824" s="7"/>
      <c r="J824" s="7"/>
      <c r="K824" s="7"/>
      <c r="M824" s="3"/>
      <c r="N824" s="3"/>
    </row>
    <row r="825" spans="1:14" ht="13" x14ac:dyDescent="0.15">
      <c r="A825" s="29"/>
      <c r="B825" s="2"/>
      <c r="C825" s="2"/>
      <c r="D825" s="2"/>
      <c r="E825" s="3"/>
      <c r="F825" s="3"/>
      <c r="G825" s="7"/>
      <c r="J825" s="7"/>
      <c r="K825" s="7"/>
      <c r="M825" s="3"/>
      <c r="N825" s="3"/>
    </row>
    <row r="826" spans="1:14" ht="13" x14ac:dyDescent="0.15">
      <c r="A826" s="29"/>
      <c r="B826" s="2"/>
      <c r="C826" s="2"/>
      <c r="D826" s="2"/>
      <c r="E826" s="3"/>
      <c r="F826" s="3"/>
      <c r="G826" s="7"/>
      <c r="J826" s="7"/>
      <c r="K826" s="7"/>
      <c r="M826" s="3"/>
      <c r="N826" s="3"/>
    </row>
    <row r="827" spans="1:14" ht="13" x14ac:dyDescent="0.15">
      <c r="A827" s="29"/>
      <c r="B827" s="2"/>
      <c r="C827" s="2"/>
      <c r="D827" s="2"/>
      <c r="E827" s="3"/>
      <c r="F827" s="3"/>
      <c r="G827" s="7"/>
      <c r="J827" s="7"/>
      <c r="K827" s="7"/>
      <c r="M827" s="3"/>
      <c r="N827" s="3"/>
    </row>
    <row r="828" spans="1:14" ht="13" x14ac:dyDescent="0.15">
      <c r="A828" s="29"/>
      <c r="B828" s="2"/>
      <c r="C828" s="2"/>
      <c r="D828" s="2"/>
      <c r="E828" s="3"/>
      <c r="F828" s="3"/>
      <c r="G828" s="7"/>
      <c r="J828" s="7"/>
      <c r="K828" s="7"/>
      <c r="M828" s="3"/>
      <c r="N828" s="3"/>
    </row>
    <row r="829" spans="1:14" ht="13" x14ac:dyDescent="0.15">
      <c r="A829" s="29"/>
      <c r="B829" s="2"/>
      <c r="C829" s="2"/>
      <c r="D829" s="2"/>
      <c r="E829" s="3"/>
      <c r="F829" s="3"/>
      <c r="G829" s="7"/>
      <c r="J829" s="7"/>
      <c r="K829" s="7"/>
      <c r="M829" s="3"/>
      <c r="N829" s="3"/>
    </row>
    <row r="830" spans="1:14" ht="13" x14ac:dyDescent="0.15">
      <c r="A830" s="29"/>
      <c r="B830" s="2"/>
      <c r="C830" s="2"/>
      <c r="D830" s="2"/>
      <c r="E830" s="3"/>
      <c r="F830" s="3"/>
      <c r="G830" s="7"/>
      <c r="J830" s="7"/>
      <c r="K830" s="7"/>
      <c r="M830" s="3"/>
      <c r="N830" s="3"/>
    </row>
    <row r="831" spans="1:14" ht="13" x14ac:dyDescent="0.15">
      <c r="A831" s="29"/>
      <c r="B831" s="2"/>
      <c r="C831" s="2"/>
      <c r="D831" s="2"/>
      <c r="E831" s="3"/>
      <c r="F831" s="3"/>
      <c r="G831" s="7"/>
      <c r="J831" s="7"/>
      <c r="K831" s="7"/>
      <c r="M831" s="3"/>
      <c r="N831" s="3"/>
    </row>
    <row r="832" spans="1:14" ht="13" x14ac:dyDescent="0.15">
      <c r="A832" s="29"/>
      <c r="B832" s="2"/>
      <c r="C832" s="2"/>
      <c r="D832" s="2"/>
      <c r="E832" s="3"/>
      <c r="F832" s="3"/>
      <c r="G832" s="7"/>
      <c r="J832" s="7"/>
      <c r="K832" s="7"/>
      <c r="M832" s="3"/>
      <c r="N832" s="3"/>
    </row>
    <row r="833" spans="1:14" ht="13" x14ac:dyDescent="0.15">
      <c r="A833" s="29"/>
      <c r="B833" s="2"/>
      <c r="C833" s="2"/>
      <c r="D833" s="2"/>
      <c r="E833" s="3"/>
      <c r="F833" s="3"/>
      <c r="G833" s="7"/>
      <c r="J833" s="7"/>
      <c r="K833" s="7"/>
      <c r="M833" s="3"/>
      <c r="N833" s="3"/>
    </row>
    <row r="834" spans="1:14" ht="13" x14ac:dyDescent="0.15">
      <c r="A834" s="29"/>
      <c r="B834" s="2"/>
      <c r="C834" s="2"/>
      <c r="D834" s="2"/>
      <c r="E834" s="3"/>
      <c r="F834" s="3"/>
      <c r="G834" s="7"/>
      <c r="J834" s="7"/>
      <c r="K834" s="7"/>
      <c r="M834" s="3"/>
      <c r="N834" s="3"/>
    </row>
    <row r="835" spans="1:14" ht="13" x14ac:dyDescent="0.15">
      <c r="A835" s="29"/>
      <c r="B835" s="2"/>
      <c r="C835" s="2"/>
      <c r="D835" s="2"/>
      <c r="E835" s="3"/>
      <c r="F835" s="3"/>
      <c r="G835" s="7"/>
      <c r="J835" s="7"/>
      <c r="K835" s="7"/>
      <c r="M835" s="3"/>
      <c r="N835" s="3"/>
    </row>
    <row r="836" spans="1:14" ht="13" x14ac:dyDescent="0.15">
      <c r="A836" s="29"/>
      <c r="B836" s="2"/>
      <c r="C836" s="2"/>
      <c r="D836" s="2"/>
      <c r="E836" s="3"/>
      <c r="F836" s="3"/>
      <c r="G836" s="7"/>
      <c r="J836" s="7"/>
      <c r="K836" s="7"/>
      <c r="M836" s="3"/>
      <c r="N836" s="3"/>
    </row>
    <row r="837" spans="1:14" ht="13" x14ac:dyDescent="0.15">
      <c r="A837" s="29"/>
      <c r="B837" s="2"/>
      <c r="C837" s="2"/>
      <c r="D837" s="2"/>
      <c r="E837" s="3"/>
      <c r="F837" s="3"/>
      <c r="G837" s="7"/>
      <c r="J837" s="7"/>
      <c r="K837" s="7"/>
      <c r="M837" s="3"/>
      <c r="N837" s="3"/>
    </row>
    <row r="838" spans="1:14" ht="13" x14ac:dyDescent="0.15">
      <c r="A838" s="29"/>
      <c r="B838" s="2"/>
      <c r="C838" s="2"/>
      <c r="D838" s="2"/>
      <c r="E838" s="3"/>
      <c r="F838" s="3"/>
      <c r="G838" s="7"/>
      <c r="J838" s="7"/>
      <c r="K838" s="7"/>
      <c r="M838" s="3"/>
      <c r="N838" s="3"/>
    </row>
    <row r="839" spans="1:14" ht="13" x14ac:dyDescent="0.15">
      <c r="A839" s="29"/>
      <c r="B839" s="2"/>
      <c r="C839" s="2"/>
      <c r="D839" s="2"/>
      <c r="E839" s="3"/>
      <c r="F839" s="3"/>
      <c r="G839" s="7"/>
      <c r="J839" s="7"/>
      <c r="K839" s="7"/>
      <c r="M839" s="3"/>
      <c r="N839" s="3"/>
    </row>
    <row r="840" spans="1:14" ht="13" x14ac:dyDescent="0.15">
      <c r="A840" s="29"/>
      <c r="B840" s="2"/>
      <c r="C840" s="2"/>
      <c r="D840" s="2"/>
      <c r="E840" s="3"/>
      <c r="F840" s="3"/>
      <c r="G840" s="7"/>
      <c r="J840" s="7"/>
      <c r="K840" s="7"/>
      <c r="M840" s="3"/>
      <c r="N840" s="3"/>
    </row>
    <row r="841" spans="1:14" ht="13" x14ac:dyDescent="0.15">
      <c r="A841" s="29"/>
      <c r="B841" s="2"/>
      <c r="C841" s="2"/>
      <c r="D841" s="2"/>
      <c r="E841" s="3"/>
      <c r="F841" s="3"/>
      <c r="G841" s="7"/>
      <c r="J841" s="7"/>
      <c r="K841" s="7"/>
      <c r="M841" s="3"/>
      <c r="N841" s="3"/>
    </row>
    <row r="842" spans="1:14" ht="13" x14ac:dyDescent="0.15">
      <c r="A842" s="29"/>
      <c r="B842" s="2"/>
      <c r="C842" s="2"/>
      <c r="D842" s="2"/>
      <c r="E842" s="3"/>
      <c r="F842" s="3"/>
      <c r="G842" s="7"/>
      <c r="J842" s="7"/>
      <c r="K842" s="7"/>
      <c r="M842" s="3"/>
      <c r="N842" s="3"/>
    </row>
    <row r="843" spans="1:14" ht="13" x14ac:dyDescent="0.15">
      <c r="A843" s="29"/>
      <c r="B843" s="2"/>
      <c r="C843" s="2"/>
      <c r="D843" s="2"/>
      <c r="E843" s="3"/>
      <c r="F843" s="3"/>
      <c r="G843" s="7"/>
      <c r="J843" s="7"/>
      <c r="K843" s="7"/>
      <c r="M843" s="3"/>
      <c r="N843" s="3"/>
    </row>
    <row r="844" spans="1:14" ht="13" x14ac:dyDescent="0.15">
      <c r="A844" s="29"/>
      <c r="B844" s="2"/>
      <c r="C844" s="2"/>
      <c r="D844" s="2"/>
      <c r="E844" s="3"/>
      <c r="F844" s="3"/>
      <c r="G844" s="7"/>
      <c r="J844" s="7"/>
      <c r="K844" s="7"/>
      <c r="M844" s="3"/>
      <c r="N844" s="3"/>
    </row>
    <row r="845" spans="1:14" ht="13" x14ac:dyDescent="0.15">
      <c r="A845" s="29"/>
      <c r="B845" s="2"/>
      <c r="C845" s="2"/>
      <c r="D845" s="2"/>
      <c r="E845" s="3"/>
      <c r="F845" s="3"/>
      <c r="G845" s="7"/>
      <c r="J845" s="7"/>
      <c r="K845" s="7"/>
      <c r="M845" s="3"/>
      <c r="N845" s="3"/>
    </row>
    <row r="846" spans="1:14" ht="13" x14ac:dyDescent="0.15">
      <c r="A846" s="29"/>
      <c r="B846" s="2"/>
      <c r="C846" s="2"/>
      <c r="D846" s="2"/>
      <c r="E846" s="3"/>
      <c r="F846" s="3"/>
      <c r="G846" s="7"/>
      <c r="J846" s="7"/>
      <c r="K846" s="7"/>
      <c r="M846" s="3"/>
      <c r="N846" s="3"/>
    </row>
    <row r="847" spans="1:14" ht="13" x14ac:dyDescent="0.15">
      <c r="A847" s="29"/>
      <c r="B847" s="2"/>
      <c r="C847" s="2"/>
      <c r="D847" s="2"/>
      <c r="E847" s="3"/>
      <c r="F847" s="3"/>
      <c r="G847" s="7"/>
      <c r="J847" s="7"/>
      <c r="K847" s="7"/>
      <c r="M847" s="3"/>
      <c r="N847" s="3"/>
    </row>
    <row r="848" spans="1:14" ht="13" x14ac:dyDescent="0.15">
      <c r="A848" s="29"/>
      <c r="B848" s="2"/>
      <c r="C848" s="2"/>
      <c r="D848" s="2"/>
      <c r="E848" s="3"/>
      <c r="F848" s="3"/>
      <c r="G848" s="7"/>
      <c r="J848" s="7"/>
      <c r="K848" s="7"/>
      <c r="M848" s="3"/>
      <c r="N848" s="3"/>
    </row>
    <row r="849" spans="1:14" ht="13" x14ac:dyDescent="0.15">
      <c r="A849" s="29"/>
      <c r="B849" s="2"/>
      <c r="C849" s="2"/>
      <c r="D849" s="2"/>
      <c r="E849" s="3"/>
      <c r="F849" s="3"/>
      <c r="G849" s="7"/>
      <c r="J849" s="7"/>
      <c r="K849" s="7"/>
      <c r="M849" s="3"/>
      <c r="N849" s="3"/>
    </row>
    <row r="850" spans="1:14" ht="13" x14ac:dyDescent="0.15">
      <c r="A850" s="29"/>
      <c r="B850" s="2"/>
      <c r="C850" s="2"/>
      <c r="D850" s="2"/>
      <c r="E850" s="3"/>
      <c r="F850" s="3"/>
      <c r="G850" s="7"/>
      <c r="J850" s="7"/>
      <c r="K850" s="7"/>
      <c r="M850" s="3"/>
      <c r="N850" s="3"/>
    </row>
    <row r="851" spans="1:14" ht="13" x14ac:dyDescent="0.15">
      <c r="A851" s="29"/>
      <c r="B851" s="2"/>
      <c r="C851" s="2"/>
      <c r="D851" s="2"/>
      <c r="E851" s="3"/>
      <c r="F851" s="3"/>
      <c r="G851" s="7"/>
      <c r="J851" s="7"/>
      <c r="K851" s="7"/>
      <c r="M851" s="3"/>
      <c r="N851" s="3"/>
    </row>
    <row r="852" spans="1:14" ht="13" x14ac:dyDescent="0.15">
      <c r="A852" s="29"/>
      <c r="B852" s="2"/>
      <c r="C852" s="2"/>
      <c r="D852" s="2"/>
      <c r="E852" s="3"/>
      <c r="F852" s="3"/>
      <c r="G852" s="7"/>
      <c r="J852" s="7"/>
      <c r="K852" s="7"/>
      <c r="M852" s="3"/>
      <c r="N852" s="3"/>
    </row>
    <row r="853" spans="1:14" ht="13" x14ac:dyDescent="0.15">
      <c r="A853" s="29"/>
      <c r="B853" s="2"/>
      <c r="C853" s="2"/>
      <c r="D853" s="2"/>
      <c r="E853" s="3"/>
      <c r="F853" s="3"/>
      <c r="G853" s="7"/>
      <c r="J853" s="7"/>
      <c r="K853" s="7"/>
      <c r="M853" s="3"/>
      <c r="N853" s="3"/>
    </row>
    <row r="854" spans="1:14" ht="13" x14ac:dyDescent="0.15">
      <c r="A854" s="29"/>
      <c r="B854" s="2"/>
      <c r="C854" s="2"/>
      <c r="D854" s="2"/>
      <c r="E854" s="3"/>
      <c r="F854" s="3"/>
      <c r="G854" s="7"/>
      <c r="J854" s="7"/>
      <c r="K854" s="7"/>
      <c r="M854" s="3"/>
      <c r="N854" s="3"/>
    </row>
    <row r="855" spans="1:14" ht="13" x14ac:dyDescent="0.15">
      <c r="A855" s="29"/>
      <c r="B855" s="2"/>
      <c r="C855" s="2"/>
      <c r="D855" s="2"/>
      <c r="E855" s="3"/>
      <c r="F855" s="3"/>
      <c r="G855" s="7"/>
      <c r="J855" s="7"/>
      <c r="K855" s="7"/>
      <c r="M855" s="3"/>
      <c r="N855" s="3"/>
    </row>
    <row r="856" spans="1:14" ht="13" x14ac:dyDescent="0.15">
      <c r="A856" s="29"/>
      <c r="B856" s="2"/>
      <c r="C856" s="2"/>
      <c r="D856" s="2"/>
      <c r="E856" s="3"/>
      <c r="F856" s="3"/>
      <c r="G856" s="7"/>
      <c r="J856" s="7"/>
      <c r="K856" s="7"/>
      <c r="M856" s="3"/>
      <c r="N856" s="3"/>
    </row>
    <row r="857" spans="1:14" ht="13" x14ac:dyDescent="0.15">
      <c r="A857" s="29"/>
      <c r="B857" s="2"/>
      <c r="C857" s="2"/>
      <c r="D857" s="2"/>
      <c r="E857" s="3"/>
      <c r="F857" s="3"/>
      <c r="G857" s="7"/>
      <c r="J857" s="7"/>
      <c r="K857" s="7"/>
      <c r="M857" s="3"/>
      <c r="N857" s="3"/>
    </row>
    <row r="858" spans="1:14" ht="13" x14ac:dyDescent="0.15">
      <c r="A858" s="29"/>
      <c r="B858" s="2"/>
      <c r="C858" s="2"/>
      <c r="D858" s="2"/>
      <c r="E858" s="3"/>
      <c r="F858" s="3"/>
      <c r="G858" s="7"/>
      <c r="J858" s="7"/>
      <c r="K858" s="7"/>
      <c r="M858" s="3"/>
      <c r="N858" s="3"/>
    </row>
    <row r="859" spans="1:14" ht="13" x14ac:dyDescent="0.15">
      <c r="A859" s="29"/>
      <c r="B859" s="2"/>
      <c r="C859" s="2"/>
      <c r="D859" s="2"/>
      <c r="E859" s="3"/>
      <c r="F859" s="3"/>
      <c r="G859" s="7"/>
      <c r="J859" s="7"/>
      <c r="K859" s="7"/>
      <c r="M859" s="3"/>
      <c r="N859" s="3"/>
    </row>
    <row r="860" spans="1:14" ht="13" x14ac:dyDescent="0.15">
      <c r="A860" s="29"/>
      <c r="B860" s="2"/>
      <c r="C860" s="2"/>
      <c r="D860" s="2"/>
      <c r="E860" s="3"/>
      <c r="F860" s="3"/>
      <c r="G860" s="7"/>
      <c r="J860" s="7"/>
      <c r="K860" s="7"/>
      <c r="M860" s="3"/>
      <c r="N860" s="3"/>
    </row>
    <row r="861" spans="1:14" ht="13" x14ac:dyDescent="0.15">
      <c r="A861" s="29"/>
      <c r="B861" s="2"/>
      <c r="C861" s="2"/>
      <c r="D861" s="2"/>
      <c r="E861" s="3"/>
      <c r="F861" s="3"/>
      <c r="G861" s="7"/>
      <c r="J861" s="7"/>
      <c r="K861" s="7"/>
      <c r="M861" s="3"/>
      <c r="N861" s="3"/>
    </row>
    <row r="862" spans="1:14" ht="13" x14ac:dyDescent="0.15">
      <c r="A862" s="29"/>
      <c r="B862" s="2"/>
      <c r="C862" s="2"/>
      <c r="D862" s="2"/>
      <c r="E862" s="3"/>
      <c r="F862" s="3"/>
      <c r="G862" s="7"/>
      <c r="J862" s="7"/>
      <c r="K862" s="7"/>
      <c r="M862" s="3"/>
      <c r="N862" s="3"/>
    </row>
    <row r="863" spans="1:14" ht="13" x14ac:dyDescent="0.15">
      <c r="A863" s="29"/>
      <c r="B863" s="2"/>
      <c r="C863" s="2"/>
      <c r="D863" s="2"/>
      <c r="E863" s="3"/>
      <c r="F863" s="3"/>
      <c r="G863" s="7"/>
      <c r="J863" s="7"/>
      <c r="K863" s="7"/>
      <c r="M863" s="3"/>
      <c r="N863" s="3"/>
    </row>
    <row r="864" spans="1:14" ht="13" x14ac:dyDescent="0.15">
      <c r="A864" s="29"/>
      <c r="B864" s="2"/>
      <c r="C864" s="2"/>
      <c r="D864" s="2"/>
      <c r="E864" s="3"/>
      <c r="F864" s="3"/>
      <c r="G864" s="7"/>
      <c r="J864" s="7"/>
      <c r="K864" s="7"/>
      <c r="M864" s="3"/>
      <c r="N864" s="3"/>
    </row>
    <row r="865" spans="1:14" ht="13" x14ac:dyDescent="0.15">
      <c r="A865" s="29"/>
      <c r="B865" s="2"/>
      <c r="C865" s="2"/>
      <c r="D865" s="2"/>
      <c r="E865" s="3"/>
      <c r="F865" s="3"/>
      <c r="G865" s="7"/>
      <c r="J865" s="7"/>
      <c r="K865" s="7"/>
      <c r="M865" s="3"/>
      <c r="N865" s="3"/>
    </row>
    <row r="866" spans="1:14" ht="13" x14ac:dyDescent="0.15">
      <c r="A866" s="29"/>
      <c r="B866" s="2"/>
      <c r="C866" s="2"/>
      <c r="D866" s="2"/>
      <c r="E866" s="3"/>
      <c r="F866" s="3"/>
      <c r="G866" s="7"/>
      <c r="J866" s="7"/>
      <c r="K866" s="7"/>
      <c r="M866" s="3"/>
      <c r="N866" s="3"/>
    </row>
    <row r="867" spans="1:14" ht="13" x14ac:dyDescent="0.15">
      <c r="A867" s="29"/>
      <c r="B867" s="2"/>
      <c r="C867" s="2"/>
      <c r="D867" s="2"/>
      <c r="E867" s="3"/>
      <c r="F867" s="3"/>
      <c r="G867" s="7"/>
      <c r="J867" s="7"/>
      <c r="K867" s="7"/>
      <c r="M867" s="3"/>
      <c r="N867" s="3"/>
    </row>
    <row r="868" spans="1:14" ht="13" x14ac:dyDescent="0.15">
      <c r="A868" s="29"/>
      <c r="B868" s="2"/>
      <c r="C868" s="2"/>
      <c r="D868" s="2"/>
      <c r="E868" s="3"/>
      <c r="F868" s="3"/>
      <c r="G868" s="7"/>
      <c r="J868" s="7"/>
      <c r="K868" s="7"/>
      <c r="M868" s="3"/>
      <c r="N868" s="3"/>
    </row>
    <row r="869" spans="1:14" ht="13" x14ac:dyDescent="0.15">
      <c r="A869" s="29"/>
      <c r="B869" s="2"/>
      <c r="C869" s="2"/>
      <c r="D869" s="2"/>
      <c r="E869" s="3"/>
      <c r="F869" s="3"/>
      <c r="G869" s="7"/>
      <c r="J869" s="7"/>
      <c r="K869" s="7"/>
      <c r="M869" s="3"/>
      <c r="N869" s="3"/>
    </row>
    <row r="870" spans="1:14" ht="13" x14ac:dyDescent="0.15">
      <c r="A870" s="29"/>
      <c r="B870" s="2"/>
      <c r="C870" s="2"/>
      <c r="D870" s="2"/>
      <c r="E870" s="3"/>
      <c r="F870" s="3"/>
      <c r="G870" s="7"/>
      <c r="J870" s="7"/>
      <c r="K870" s="7"/>
      <c r="M870" s="3"/>
      <c r="N870" s="3"/>
    </row>
    <row r="871" spans="1:14" ht="13" x14ac:dyDescent="0.15">
      <c r="A871" s="29"/>
      <c r="B871" s="2"/>
      <c r="C871" s="2"/>
      <c r="D871" s="2"/>
      <c r="E871" s="3"/>
      <c r="F871" s="3"/>
      <c r="G871" s="7"/>
      <c r="J871" s="7"/>
      <c r="K871" s="7"/>
      <c r="M871" s="3"/>
      <c r="N871" s="3"/>
    </row>
    <row r="872" spans="1:14" ht="13" x14ac:dyDescent="0.15">
      <c r="A872" s="29"/>
      <c r="B872" s="2"/>
      <c r="C872" s="2"/>
      <c r="D872" s="2"/>
      <c r="E872" s="3"/>
      <c r="F872" s="3"/>
      <c r="G872" s="7"/>
      <c r="J872" s="7"/>
      <c r="K872" s="7"/>
      <c r="M872" s="3"/>
      <c r="N872" s="3"/>
    </row>
    <row r="873" spans="1:14" ht="13" x14ac:dyDescent="0.15">
      <c r="A873" s="29"/>
      <c r="B873" s="2"/>
      <c r="C873" s="2"/>
      <c r="D873" s="2"/>
      <c r="E873" s="3"/>
      <c r="F873" s="3"/>
      <c r="G873" s="7"/>
      <c r="J873" s="7"/>
      <c r="K873" s="7"/>
      <c r="M873" s="3"/>
      <c r="N873" s="3"/>
    </row>
    <row r="874" spans="1:14" ht="13" x14ac:dyDescent="0.15">
      <c r="A874" s="29"/>
      <c r="B874" s="2"/>
      <c r="C874" s="2"/>
      <c r="D874" s="2"/>
      <c r="E874" s="3"/>
      <c r="F874" s="3"/>
      <c r="G874" s="7"/>
      <c r="J874" s="7"/>
      <c r="K874" s="7"/>
      <c r="M874" s="3"/>
      <c r="N874" s="3"/>
    </row>
    <row r="875" spans="1:14" ht="13" x14ac:dyDescent="0.15">
      <c r="A875" s="29"/>
      <c r="B875" s="2"/>
      <c r="C875" s="2"/>
      <c r="D875" s="2"/>
      <c r="E875" s="3"/>
      <c r="F875" s="3"/>
      <c r="G875" s="7"/>
      <c r="J875" s="7"/>
      <c r="K875" s="7"/>
      <c r="M875" s="3"/>
      <c r="N875" s="3"/>
    </row>
    <row r="876" spans="1:14" ht="13" x14ac:dyDescent="0.15">
      <c r="A876" s="29"/>
      <c r="B876" s="2"/>
      <c r="C876" s="2"/>
      <c r="D876" s="2"/>
      <c r="E876" s="3"/>
      <c r="F876" s="3"/>
      <c r="G876" s="7"/>
      <c r="J876" s="7"/>
      <c r="K876" s="7"/>
      <c r="M876" s="3"/>
      <c r="N876" s="3"/>
    </row>
    <row r="877" spans="1:14" ht="13" x14ac:dyDescent="0.15">
      <c r="A877" s="29"/>
      <c r="B877" s="2"/>
      <c r="C877" s="2"/>
      <c r="D877" s="2"/>
      <c r="E877" s="3"/>
      <c r="F877" s="3"/>
      <c r="G877" s="7"/>
      <c r="J877" s="7"/>
      <c r="K877" s="7"/>
      <c r="M877" s="3"/>
      <c r="N877" s="3"/>
    </row>
    <row r="878" spans="1:14" ht="13" x14ac:dyDescent="0.15">
      <c r="A878" s="29"/>
      <c r="B878" s="2"/>
      <c r="C878" s="2"/>
      <c r="D878" s="2"/>
      <c r="E878" s="3"/>
      <c r="F878" s="3"/>
      <c r="G878" s="7"/>
      <c r="J878" s="7"/>
      <c r="K878" s="7"/>
      <c r="M878" s="3"/>
      <c r="N878" s="3"/>
    </row>
    <row r="879" spans="1:14" ht="13" x14ac:dyDescent="0.15">
      <c r="A879" s="29"/>
      <c r="B879" s="2"/>
      <c r="C879" s="2"/>
      <c r="D879" s="2"/>
      <c r="E879" s="3"/>
      <c r="F879" s="3"/>
      <c r="G879" s="7"/>
      <c r="J879" s="7"/>
      <c r="K879" s="7"/>
      <c r="M879" s="3"/>
      <c r="N879" s="3"/>
    </row>
    <row r="880" spans="1:14" ht="13" x14ac:dyDescent="0.15">
      <c r="A880" s="29"/>
      <c r="B880" s="2"/>
      <c r="C880" s="2"/>
      <c r="D880" s="2"/>
      <c r="E880" s="3"/>
      <c r="F880" s="3"/>
      <c r="G880" s="7"/>
      <c r="J880" s="7"/>
      <c r="K880" s="7"/>
      <c r="M880" s="3"/>
      <c r="N880" s="3"/>
    </row>
    <row r="881" spans="1:14" ht="13" x14ac:dyDescent="0.15">
      <c r="A881" s="29"/>
      <c r="B881" s="2"/>
      <c r="C881" s="2"/>
      <c r="D881" s="2"/>
      <c r="E881" s="3"/>
      <c r="F881" s="3"/>
      <c r="G881" s="7"/>
      <c r="J881" s="7"/>
      <c r="K881" s="7"/>
      <c r="M881" s="3"/>
      <c r="N881" s="3"/>
    </row>
    <row r="882" spans="1:14" ht="13" x14ac:dyDescent="0.15">
      <c r="A882" s="29"/>
      <c r="B882" s="2"/>
      <c r="C882" s="2"/>
      <c r="D882" s="2"/>
      <c r="E882" s="3"/>
      <c r="F882" s="3"/>
      <c r="G882" s="7"/>
      <c r="J882" s="7"/>
      <c r="K882" s="7"/>
      <c r="M882" s="3"/>
      <c r="N882" s="3"/>
    </row>
    <row r="883" spans="1:14" ht="13" x14ac:dyDescent="0.15">
      <c r="A883" s="29"/>
      <c r="B883" s="2"/>
      <c r="C883" s="2"/>
      <c r="D883" s="2"/>
      <c r="E883" s="3"/>
      <c r="F883" s="3"/>
      <c r="G883" s="7"/>
      <c r="J883" s="7"/>
      <c r="K883" s="7"/>
      <c r="M883" s="3"/>
      <c r="N883" s="3"/>
    </row>
    <row r="884" spans="1:14" ht="13" x14ac:dyDescent="0.15">
      <c r="A884" s="29"/>
      <c r="B884" s="2"/>
      <c r="C884" s="2"/>
      <c r="D884" s="2"/>
      <c r="E884" s="3"/>
      <c r="F884" s="3"/>
      <c r="G884" s="7"/>
      <c r="J884" s="7"/>
      <c r="K884" s="7"/>
      <c r="M884" s="3"/>
      <c r="N884" s="3"/>
    </row>
    <row r="885" spans="1:14" ht="13" x14ac:dyDescent="0.15">
      <c r="A885" s="29"/>
      <c r="B885" s="2"/>
      <c r="C885" s="2"/>
      <c r="D885" s="2"/>
      <c r="E885" s="3"/>
      <c r="F885" s="3"/>
      <c r="G885" s="7"/>
      <c r="J885" s="7"/>
      <c r="K885" s="7"/>
      <c r="M885" s="3"/>
      <c r="N885" s="3"/>
    </row>
    <row r="886" spans="1:14" ht="13" x14ac:dyDescent="0.15">
      <c r="A886" s="29"/>
      <c r="B886" s="2"/>
      <c r="C886" s="2"/>
      <c r="D886" s="2"/>
      <c r="E886" s="3"/>
      <c r="F886" s="3"/>
      <c r="G886" s="7"/>
      <c r="J886" s="7"/>
      <c r="K886" s="7"/>
      <c r="M886" s="3"/>
      <c r="N886" s="3"/>
    </row>
    <row r="887" spans="1:14" ht="13" x14ac:dyDescent="0.15">
      <c r="A887" s="29"/>
      <c r="B887" s="2"/>
      <c r="C887" s="2"/>
      <c r="D887" s="2"/>
      <c r="E887" s="3"/>
      <c r="F887" s="3"/>
      <c r="G887" s="7"/>
      <c r="J887" s="7"/>
      <c r="K887" s="7"/>
      <c r="M887" s="3"/>
      <c r="N887" s="3"/>
    </row>
    <row r="888" spans="1:14" ht="13" x14ac:dyDescent="0.15">
      <c r="A888" s="29"/>
      <c r="B888" s="2"/>
      <c r="C888" s="2"/>
      <c r="D888" s="2"/>
      <c r="E888" s="3"/>
      <c r="F888" s="3"/>
      <c r="G888" s="7"/>
      <c r="J888" s="7"/>
      <c r="K888" s="7"/>
      <c r="M888" s="3"/>
      <c r="N888" s="3"/>
    </row>
    <row r="889" spans="1:14" ht="13" x14ac:dyDescent="0.15">
      <c r="A889" s="29"/>
      <c r="B889" s="2"/>
      <c r="C889" s="2"/>
      <c r="D889" s="2"/>
      <c r="E889" s="3"/>
      <c r="F889" s="3"/>
      <c r="G889" s="7"/>
      <c r="J889" s="7"/>
      <c r="K889" s="7"/>
      <c r="M889" s="3"/>
      <c r="N889" s="3"/>
    </row>
    <row r="890" spans="1:14" ht="13" x14ac:dyDescent="0.15">
      <c r="A890" s="29"/>
      <c r="B890" s="2"/>
      <c r="C890" s="2"/>
      <c r="D890" s="2"/>
      <c r="E890" s="3"/>
      <c r="F890" s="3"/>
      <c r="G890" s="7"/>
      <c r="J890" s="7"/>
      <c r="K890" s="7"/>
      <c r="M890" s="3"/>
      <c r="N890" s="3"/>
    </row>
    <row r="891" spans="1:14" ht="13" x14ac:dyDescent="0.15">
      <c r="A891" s="29"/>
      <c r="B891" s="2"/>
      <c r="C891" s="2"/>
      <c r="D891" s="2"/>
      <c r="E891" s="3"/>
      <c r="F891" s="3"/>
      <c r="G891" s="7"/>
      <c r="J891" s="7"/>
      <c r="K891" s="7"/>
      <c r="M891" s="3"/>
      <c r="N891" s="3"/>
    </row>
    <row r="892" spans="1:14" ht="13" x14ac:dyDescent="0.15">
      <c r="A892" s="29"/>
      <c r="B892" s="2"/>
      <c r="C892" s="2"/>
      <c r="D892" s="2"/>
      <c r="E892" s="3"/>
      <c r="F892" s="3"/>
      <c r="G892" s="7"/>
      <c r="J892" s="7"/>
      <c r="K892" s="7"/>
      <c r="M892" s="3"/>
      <c r="N892" s="3"/>
    </row>
    <row r="893" spans="1:14" ht="13" x14ac:dyDescent="0.15">
      <c r="A893" s="29"/>
      <c r="B893" s="2"/>
      <c r="C893" s="2"/>
      <c r="D893" s="2"/>
      <c r="E893" s="3"/>
      <c r="F893" s="3"/>
      <c r="G893" s="7"/>
      <c r="J893" s="7"/>
      <c r="K893" s="7"/>
      <c r="M893" s="3"/>
      <c r="N893" s="3"/>
    </row>
    <row r="894" spans="1:14" ht="13" x14ac:dyDescent="0.15">
      <c r="A894" s="29"/>
      <c r="B894" s="2"/>
      <c r="C894" s="2"/>
      <c r="D894" s="2"/>
      <c r="E894" s="3"/>
      <c r="F894" s="3"/>
      <c r="G894" s="7"/>
      <c r="J894" s="7"/>
      <c r="K894" s="7"/>
      <c r="M894" s="3"/>
      <c r="N894" s="3"/>
    </row>
    <row r="895" spans="1:14" ht="13" x14ac:dyDescent="0.15">
      <c r="A895" s="29"/>
      <c r="B895" s="2"/>
      <c r="C895" s="2"/>
      <c r="D895" s="2"/>
      <c r="E895" s="3"/>
      <c r="F895" s="3"/>
      <c r="G895" s="7"/>
      <c r="J895" s="7"/>
      <c r="K895" s="7"/>
      <c r="M895" s="3"/>
      <c r="N895" s="3"/>
    </row>
    <row r="896" spans="1:14" ht="13" x14ac:dyDescent="0.15">
      <c r="A896" s="29"/>
      <c r="B896" s="2"/>
      <c r="C896" s="2"/>
      <c r="D896" s="2"/>
      <c r="E896" s="3"/>
      <c r="F896" s="3"/>
      <c r="G896" s="7"/>
      <c r="J896" s="7"/>
      <c r="K896" s="7"/>
      <c r="M896" s="3"/>
      <c r="N896" s="3"/>
    </row>
    <row r="897" spans="1:14" ht="13" x14ac:dyDescent="0.15">
      <c r="A897" s="29"/>
      <c r="B897" s="2"/>
      <c r="C897" s="2"/>
      <c r="D897" s="2"/>
      <c r="E897" s="3"/>
      <c r="F897" s="3"/>
      <c r="G897" s="7"/>
      <c r="J897" s="7"/>
      <c r="K897" s="7"/>
      <c r="M897" s="3"/>
      <c r="N897" s="3"/>
    </row>
    <row r="898" spans="1:14" ht="13" x14ac:dyDescent="0.15">
      <c r="A898" s="29"/>
      <c r="B898" s="2"/>
      <c r="C898" s="2"/>
      <c r="D898" s="2"/>
      <c r="E898" s="3"/>
      <c r="F898" s="3"/>
      <c r="G898" s="7"/>
      <c r="J898" s="7"/>
      <c r="K898" s="7"/>
      <c r="M898" s="3"/>
      <c r="N898" s="3"/>
    </row>
    <row r="899" spans="1:14" ht="13" x14ac:dyDescent="0.15">
      <c r="A899" s="29"/>
      <c r="B899" s="2"/>
      <c r="C899" s="2"/>
      <c r="D899" s="2"/>
      <c r="E899" s="3"/>
      <c r="F899" s="3"/>
      <c r="G899" s="7"/>
      <c r="J899" s="7"/>
      <c r="K899" s="7"/>
      <c r="M899" s="3"/>
      <c r="N899" s="3"/>
    </row>
    <row r="900" spans="1:14" ht="13" x14ac:dyDescent="0.15">
      <c r="A900" s="29"/>
      <c r="B900" s="2"/>
      <c r="C900" s="2"/>
      <c r="D900" s="2"/>
      <c r="E900" s="3"/>
      <c r="F900" s="3"/>
      <c r="G900" s="7"/>
      <c r="J900" s="7"/>
      <c r="K900" s="7"/>
      <c r="M900" s="3"/>
      <c r="N900" s="3"/>
    </row>
    <row r="901" spans="1:14" ht="13" x14ac:dyDescent="0.15">
      <c r="A901" s="29"/>
      <c r="B901" s="2"/>
      <c r="C901" s="2"/>
      <c r="D901" s="2"/>
      <c r="E901" s="3"/>
      <c r="F901" s="3"/>
      <c r="G901" s="7"/>
      <c r="J901" s="7"/>
      <c r="K901" s="7"/>
      <c r="M901" s="3"/>
      <c r="N901" s="3"/>
    </row>
    <row r="902" spans="1:14" ht="13" x14ac:dyDescent="0.15">
      <c r="A902" s="29"/>
      <c r="B902" s="2"/>
      <c r="C902" s="2"/>
      <c r="D902" s="2"/>
      <c r="E902" s="3"/>
      <c r="F902" s="3"/>
      <c r="G902" s="7"/>
      <c r="J902" s="7"/>
      <c r="K902" s="7"/>
      <c r="M902" s="3"/>
      <c r="N902" s="3"/>
    </row>
    <row r="903" spans="1:14" ht="13" x14ac:dyDescent="0.15">
      <c r="A903" s="29"/>
      <c r="B903" s="2"/>
      <c r="C903" s="2"/>
      <c r="D903" s="2"/>
      <c r="E903" s="3"/>
      <c r="F903" s="3"/>
      <c r="G903" s="7"/>
      <c r="J903" s="7"/>
      <c r="K903" s="7"/>
      <c r="M903" s="3"/>
      <c r="N903" s="3"/>
    </row>
    <row r="904" spans="1:14" ht="13" x14ac:dyDescent="0.15">
      <c r="A904" s="29"/>
      <c r="B904" s="2"/>
      <c r="C904" s="2"/>
      <c r="D904" s="2"/>
      <c r="E904" s="3"/>
      <c r="F904" s="3"/>
      <c r="G904" s="7"/>
      <c r="J904" s="7"/>
      <c r="K904" s="7"/>
      <c r="M904" s="3"/>
      <c r="N904" s="3"/>
    </row>
    <row r="905" spans="1:14" ht="13" x14ac:dyDescent="0.15">
      <c r="A905" s="29"/>
      <c r="B905" s="2"/>
      <c r="C905" s="2"/>
      <c r="D905" s="2"/>
      <c r="E905" s="3"/>
      <c r="F905" s="3"/>
      <c r="G905" s="7"/>
      <c r="J905" s="7"/>
      <c r="K905" s="7"/>
      <c r="M905" s="3"/>
      <c r="N905" s="3"/>
    </row>
    <row r="906" spans="1:14" ht="13" x14ac:dyDescent="0.15">
      <c r="A906" s="29"/>
      <c r="B906" s="2"/>
      <c r="C906" s="2"/>
      <c r="D906" s="2"/>
      <c r="E906" s="3"/>
      <c r="F906" s="3"/>
      <c r="G906" s="7"/>
      <c r="J906" s="7"/>
      <c r="K906" s="7"/>
      <c r="M906" s="3"/>
      <c r="N906" s="3"/>
    </row>
    <row r="907" spans="1:14" ht="13" x14ac:dyDescent="0.15">
      <c r="A907" s="29"/>
      <c r="B907" s="2"/>
      <c r="C907" s="2"/>
      <c r="D907" s="2"/>
      <c r="E907" s="3"/>
      <c r="F907" s="3"/>
      <c r="G907" s="7"/>
      <c r="J907" s="7"/>
      <c r="K907" s="7"/>
      <c r="M907" s="3"/>
      <c r="N907" s="3"/>
    </row>
    <row r="908" spans="1:14" ht="13" x14ac:dyDescent="0.15">
      <c r="A908" s="29"/>
      <c r="B908" s="2"/>
      <c r="C908" s="2"/>
      <c r="D908" s="2"/>
      <c r="E908" s="3"/>
      <c r="F908" s="3"/>
      <c r="G908" s="7"/>
      <c r="J908" s="7"/>
      <c r="K908" s="7"/>
      <c r="M908" s="3"/>
      <c r="N908" s="3"/>
    </row>
    <row r="909" spans="1:14" ht="13" x14ac:dyDescent="0.15">
      <c r="A909" s="29"/>
      <c r="B909" s="2"/>
      <c r="C909" s="2"/>
      <c r="D909" s="2"/>
      <c r="E909" s="3"/>
      <c r="F909" s="3"/>
      <c r="G909" s="7"/>
      <c r="J909" s="7"/>
      <c r="K909" s="7"/>
      <c r="M909" s="3"/>
      <c r="N909" s="3"/>
    </row>
    <row r="910" spans="1:14" ht="13" x14ac:dyDescent="0.15">
      <c r="A910" s="29"/>
      <c r="B910" s="2"/>
      <c r="C910" s="2"/>
      <c r="D910" s="2"/>
      <c r="E910" s="3"/>
      <c r="F910" s="3"/>
      <c r="G910" s="7"/>
      <c r="J910" s="7"/>
      <c r="K910" s="7"/>
      <c r="M910" s="3"/>
      <c r="N910" s="3"/>
    </row>
    <row r="911" spans="1:14" ht="13" x14ac:dyDescent="0.15">
      <c r="A911" s="29"/>
      <c r="B911" s="2"/>
      <c r="C911" s="2"/>
      <c r="D911" s="2"/>
      <c r="E911" s="3"/>
      <c r="F911" s="3"/>
      <c r="G911" s="7"/>
      <c r="J911" s="7"/>
      <c r="K911" s="7"/>
      <c r="M911" s="3"/>
      <c r="N911" s="3"/>
    </row>
    <row r="912" spans="1:14" ht="13" x14ac:dyDescent="0.15">
      <c r="A912" s="29"/>
      <c r="B912" s="2"/>
      <c r="C912" s="2"/>
      <c r="D912" s="2"/>
      <c r="E912" s="3"/>
      <c r="F912" s="3"/>
      <c r="G912" s="7"/>
      <c r="J912" s="7"/>
      <c r="K912" s="7"/>
      <c r="M912" s="3"/>
      <c r="N912" s="3"/>
    </row>
    <row r="913" spans="1:14" ht="13" x14ac:dyDescent="0.15">
      <c r="A913" s="29"/>
      <c r="B913" s="2"/>
      <c r="C913" s="2"/>
      <c r="D913" s="2"/>
      <c r="E913" s="3"/>
      <c r="F913" s="3"/>
      <c r="G913" s="7"/>
      <c r="J913" s="7"/>
      <c r="K913" s="7"/>
      <c r="M913" s="3"/>
      <c r="N913" s="3"/>
    </row>
    <row r="914" spans="1:14" ht="13" x14ac:dyDescent="0.15">
      <c r="A914" s="29"/>
      <c r="B914" s="2"/>
      <c r="C914" s="2"/>
      <c r="D914" s="2"/>
      <c r="E914" s="3"/>
      <c r="F914" s="3"/>
      <c r="G914" s="7"/>
      <c r="J914" s="7"/>
      <c r="K914" s="7"/>
      <c r="M914" s="3"/>
      <c r="N914" s="3"/>
    </row>
    <row r="915" spans="1:14" ht="13" x14ac:dyDescent="0.15">
      <c r="A915" s="29"/>
      <c r="B915" s="2"/>
      <c r="C915" s="2"/>
      <c r="D915" s="2"/>
      <c r="E915" s="3"/>
      <c r="F915" s="3"/>
      <c r="G915" s="7"/>
      <c r="J915" s="7"/>
      <c r="K915" s="7"/>
      <c r="M915" s="3"/>
      <c r="N915" s="3"/>
    </row>
    <row r="916" spans="1:14" ht="13" x14ac:dyDescent="0.15">
      <c r="A916" s="29"/>
      <c r="B916" s="2"/>
      <c r="C916" s="2"/>
      <c r="D916" s="2"/>
      <c r="E916" s="3"/>
      <c r="F916" s="3"/>
      <c r="G916" s="7"/>
      <c r="J916" s="7"/>
      <c r="K916" s="7"/>
      <c r="M916" s="3"/>
      <c r="N916" s="3"/>
    </row>
    <row r="917" spans="1:14" ht="13" x14ac:dyDescent="0.15">
      <c r="A917" s="29"/>
      <c r="B917" s="2"/>
      <c r="C917" s="2"/>
      <c r="D917" s="2"/>
      <c r="E917" s="3"/>
      <c r="F917" s="3"/>
      <c r="G917" s="7"/>
      <c r="J917" s="7"/>
      <c r="K917" s="7"/>
      <c r="M917" s="3"/>
      <c r="N917" s="3"/>
    </row>
    <row r="918" spans="1:14" ht="13" x14ac:dyDescent="0.15">
      <c r="A918" s="29"/>
      <c r="B918" s="2"/>
      <c r="C918" s="2"/>
      <c r="D918" s="2"/>
      <c r="E918" s="3"/>
      <c r="F918" s="3"/>
      <c r="G918" s="7"/>
      <c r="J918" s="7"/>
      <c r="K918" s="7"/>
      <c r="M918" s="3"/>
      <c r="N918" s="3"/>
    </row>
    <row r="919" spans="1:14" ht="13" x14ac:dyDescent="0.15">
      <c r="A919" s="29"/>
      <c r="B919" s="2"/>
      <c r="C919" s="2"/>
      <c r="D919" s="2"/>
      <c r="E919" s="3"/>
      <c r="F919" s="3"/>
      <c r="G919" s="7"/>
      <c r="J919" s="7"/>
      <c r="K919" s="7"/>
      <c r="M919" s="3"/>
      <c r="N919" s="3"/>
    </row>
    <row r="920" spans="1:14" ht="13" x14ac:dyDescent="0.15">
      <c r="A920" s="29"/>
      <c r="B920" s="2"/>
      <c r="C920" s="2"/>
      <c r="D920" s="2"/>
      <c r="E920" s="3"/>
      <c r="F920" s="3"/>
      <c r="G920" s="7"/>
      <c r="J920" s="7"/>
      <c r="K920" s="7"/>
      <c r="M920" s="3"/>
      <c r="N920" s="3"/>
    </row>
    <row r="921" spans="1:14" ht="13" x14ac:dyDescent="0.15">
      <c r="A921" s="29"/>
      <c r="B921" s="2"/>
      <c r="C921" s="2"/>
      <c r="D921" s="2"/>
      <c r="E921" s="3"/>
      <c r="F921" s="3"/>
      <c r="G921" s="7"/>
      <c r="J921" s="7"/>
      <c r="K921" s="7"/>
      <c r="M921" s="3"/>
      <c r="N921" s="3"/>
    </row>
    <row r="922" spans="1:14" ht="13" x14ac:dyDescent="0.15">
      <c r="A922" s="29"/>
      <c r="B922" s="2"/>
      <c r="C922" s="2"/>
      <c r="D922" s="2"/>
      <c r="E922" s="3"/>
      <c r="F922" s="3"/>
      <c r="G922" s="7"/>
      <c r="J922" s="7"/>
      <c r="K922" s="7"/>
      <c r="M922" s="3"/>
      <c r="N922" s="3"/>
    </row>
    <row r="923" spans="1:14" ht="13" x14ac:dyDescent="0.15">
      <c r="A923" s="29"/>
      <c r="B923" s="2"/>
      <c r="C923" s="2"/>
      <c r="D923" s="2"/>
      <c r="E923" s="3"/>
      <c r="F923" s="3"/>
      <c r="G923" s="7"/>
      <c r="J923" s="7"/>
      <c r="K923" s="7"/>
      <c r="M923" s="3"/>
      <c r="N923" s="3"/>
    </row>
    <row r="924" spans="1:14" ht="13" x14ac:dyDescent="0.15">
      <c r="A924" s="29"/>
      <c r="B924" s="2"/>
      <c r="C924" s="2"/>
      <c r="D924" s="2"/>
      <c r="E924" s="3"/>
      <c r="F924" s="3"/>
      <c r="G924" s="7"/>
      <c r="J924" s="7"/>
      <c r="K924" s="7"/>
      <c r="M924" s="3"/>
      <c r="N924" s="3"/>
    </row>
    <row r="925" spans="1:14" ht="13" x14ac:dyDescent="0.15">
      <c r="A925" s="29"/>
      <c r="B925" s="2"/>
      <c r="C925" s="2"/>
      <c r="D925" s="2"/>
      <c r="E925" s="3"/>
      <c r="F925" s="3"/>
      <c r="G925" s="7"/>
      <c r="J925" s="7"/>
      <c r="K925" s="7"/>
      <c r="M925" s="3"/>
      <c r="N925" s="3"/>
    </row>
    <row r="926" spans="1:14" ht="13" x14ac:dyDescent="0.15">
      <c r="A926" s="29"/>
      <c r="B926" s="2"/>
      <c r="C926" s="2"/>
      <c r="D926" s="2"/>
      <c r="E926" s="3"/>
      <c r="F926" s="3"/>
      <c r="G926" s="7"/>
      <c r="J926" s="7"/>
      <c r="K926" s="7"/>
      <c r="M926" s="3"/>
      <c r="N926" s="3"/>
    </row>
    <row r="927" spans="1:14" ht="13" x14ac:dyDescent="0.15">
      <c r="A927" s="29"/>
      <c r="B927" s="2"/>
      <c r="C927" s="2"/>
      <c r="D927" s="2"/>
      <c r="E927" s="3"/>
      <c r="F927" s="3"/>
      <c r="G927" s="7"/>
      <c r="J927" s="7"/>
      <c r="K927" s="7"/>
      <c r="M927" s="3"/>
      <c r="N927" s="3"/>
    </row>
    <row r="928" spans="1:14" ht="13" x14ac:dyDescent="0.15">
      <c r="A928" s="29"/>
      <c r="B928" s="2"/>
      <c r="C928" s="2"/>
      <c r="D928" s="2"/>
      <c r="E928" s="3"/>
      <c r="F928" s="3"/>
      <c r="G928" s="7"/>
      <c r="J928" s="7"/>
      <c r="K928" s="7"/>
      <c r="M928" s="3"/>
      <c r="N928" s="3"/>
    </row>
    <row r="929" spans="1:14" ht="13" x14ac:dyDescent="0.15">
      <c r="A929" s="29"/>
      <c r="B929" s="2"/>
      <c r="C929" s="2"/>
      <c r="D929" s="2"/>
      <c r="E929" s="3"/>
      <c r="F929" s="3"/>
      <c r="G929" s="7"/>
      <c r="J929" s="7"/>
      <c r="K929" s="7"/>
      <c r="M929" s="3"/>
      <c r="N929" s="3"/>
    </row>
    <row r="930" spans="1:14" ht="13" x14ac:dyDescent="0.15">
      <c r="A930" s="29"/>
      <c r="B930" s="2"/>
      <c r="C930" s="2"/>
      <c r="D930" s="2"/>
      <c r="E930" s="3"/>
      <c r="F930" s="3"/>
      <c r="G930" s="7"/>
      <c r="J930" s="7"/>
      <c r="K930" s="7"/>
      <c r="M930" s="3"/>
      <c r="N930" s="3"/>
    </row>
    <row r="931" spans="1:14" ht="13" x14ac:dyDescent="0.15">
      <c r="A931" s="29"/>
      <c r="B931" s="2"/>
      <c r="C931" s="2"/>
      <c r="D931" s="2"/>
      <c r="E931" s="3"/>
      <c r="F931" s="3"/>
      <c r="G931" s="7"/>
      <c r="J931" s="7"/>
      <c r="K931" s="7"/>
      <c r="M931" s="3"/>
      <c r="N931" s="3"/>
    </row>
    <row r="932" spans="1:14" ht="13" x14ac:dyDescent="0.15">
      <c r="A932" s="29"/>
      <c r="B932" s="2"/>
      <c r="C932" s="2"/>
      <c r="D932" s="2"/>
      <c r="E932" s="3"/>
      <c r="F932" s="3"/>
      <c r="G932" s="7"/>
      <c r="J932" s="7"/>
      <c r="K932" s="7"/>
      <c r="M932" s="3"/>
      <c r="N932" s="3"/>
    </row>
    <row r="933" spans="1:14" ht="13" x14ac:dyDescent="0.15">
      <c r="A933" s="29"/>
      <c r="B933" s="2"/>
      <c r="C933" s="2"/>
      <c r="D933" s="2"/>
      <c r="E933" s="3"/>
      <c r="F933" s="3"/>
      <c r="G933" s="7"/>
      <c r="J933" s="7"/>
      <c r="K933" s="7"/>
      <c r="M933" s="3"/>
      <c r="N933" s="3"/>
    </row>
    <row r="934" spans="1:14" ht="13" x14ac:dyDescent="0.15">
      <c r="A934" s="29"/>
      <c r="B934" s="2"/>
      <c r="C934" s="2"/>
      <c r="D934" s="2"/>
      <c r="E934" s="3"/>
      <c r="F934" s="3"/>
      <c r="G934" s="7"/>
      <c r="J934" s="7"/>
      <c r="K934" s="7"/>
      <c r="M934" s="3"/>
      <c r="N934" s="3"/>
    </row>
    <row r="935" spans="1:14" ht="13" x14ac:dyDescent="0.15">
      <c r="A935" s="29"/>
      <c r="B935" s="2"/>
      <c r="C935" s="2"/>
      <c r="D935" s="2"/>
      <c r="E935" s="3"/>
      <c r="F935" s="3"/>
      <c r="G935" s="7"/>
      <c r="J935" s="7"/>
      <c r="K935" s="7"/>
      <c r="M935" s="3"/>
      <c r="N935" s="3"/>
    </row>
    <row r="936" spans="1:14" ht="13" x14ac:dyDescent="0.15">
      <c r="A936" s="29"/>
      <c r="B936" s="2"/>
      <c r="C936" s="2"/>
      <c r="D936" s="2"/>
      <c r="E936" s="3"/>
      <c r="F936" s="3"/>
      <c r="G936" s="7"/>
      <c r="J936" s="7"/>
      <c r="K936" s="7"/>
      <c r="M936" s="3"/>
      <c r="N936" s="3"/>
    </row>
    <row r="937" spans="1:14" ht="13" x14ac:dyDescent="0.15">
      <c r="A937" s="29"/>
      <c r="B937" s="2"/>
      <c r="C937" s="2"/>
      <c r="D937" s="2"/>
      <c r="E937" s="3"/>
      <c r="F937" s="3"/>
      <c r="G937" s="7"/>
      <c r="J937" s="7"/>
      <c r="K937" s="7"/>
      <c r="M937" s="3"/>
      <c r="N937" s="3"/>
    </row>
    <row r="938" spans="1:14" ht="13" x14ac:dyDescent="0.15">
      <c r="A938" s="29"/>
      <c r="B938" s="2"/>
      <c r="C938" s="2"/>
      <c r="D938" s="2"/>
      <c r="E938" s="3"/>
      <c r="F938" s="3"/>
      <c r="G938" s="7"/>
      <c r="J938" s="7"/>
      <c r="K938" s="7"/>
      <c r="M938" s="3"/>
      <c r="N938" s="3"/>
    </row>
    <row r="939" spans="1:14" ht="13" x14ac:dyDescent="0.15">
      <c r="A939" s="29"/>
      <c r="B939" s="2"/>
      <c r="C939" s="2"/>
      <c r="D939" s="2"/>
      <c r="E939" s="3"/>
      <c r="F939" s="3"/>
      <c r="G939" s="7"/>
      <c r="J939" s="7"/>
      <c r="K939" s="7"/>
      <c r="M939" s="3"/>
      <c r="N939" s="3"/>
    </row>
    <row r="940" spans="1:14" ht="13" x14ac:dyDescent="0.15">
      <c r="A940" s="29"/>
      <c r="B940" s="2"/>
      <c r="C940" s="2"/>
      <c r="D940" s="2"/>
      <c r="E940" s="3"/>
      <c r="F940" s="3"/>
      <c r="G940" s="7"/>
      <c r="J940" s="7"/>
      <c r="K940" s="7"/>
      <c r="M940" s="3"/>
      <c r="N940" s="3"/>
    </row>
    <row r="941" spans="1:14" ht="13" x14ac:dyDescent="0.15">
      <c r="A941" s="29"/>
      <c r="B941" s="2"/>
      <c r="C941" s="2"/>
      <c r="D941" s="2"/>
      <c r="E941" s="3"/>
      <c r="F941" s="3"/>
      <c r="G941" s="7"/>
      <c r="J941" s="7"/>
      <c r="K941" s="7"/>
      <c r="M941" s="3"/>
      <c r="N941" s="3"/>
    </row>
    <row r="942" spans="1:14" ht="13" x14ac:dyDescent="0.15">
      <c r="A942" s="29"/>
      <c r="B942" s="2"/>
      <c r="C942" s="2"/>
      <c r="D942" s="2"/>
      <c r="E942" s="3"/>
      <c r="F942" s="3"/>
      <c r="G942" s="7"/>
      <c r="J942" s="7"/>
      <c r="K942" s="7"/>
      <c r="M942" s="3"/>
      <c r="N942" s="3"/>
    </row>
    <row r="943" spans="1:14" ht="13" x14ac:dyDescent="0.15">
      <c r="A943" s="29"/>
      <c r="B943" s="2"/>
      <c r="C943" s="2"/>
      <c r="D943" s="2"/>
      <c r="E943" s="3"/>
      <c r="F943" s="3"/>
      <c r="G943" s="7"/>
      <c r="J943" s="7"/>
      <c r="K943" s="7"/>
      <c r="M943" s="3"/>
      <c r="N943" s="3"/>
    </row>
    <row r="944" spans="1:14" ht="13" x14ac:dyDescent="0.15">
      <c r="A944" s="29"/>
      <c r="B944" s="2"/>
      <c r="C944" s="2"/>
      <c r="D944" s="2"/>
      <c r="E944" s="3"/>
      <c r="F944" s="3"/>
      <c r="G944" s="7"/>
      <c r="J944" s="7"/>
      <c r="K944" s="7"/>
      <c r="M944" s="3"/>
      <c r="N944" s="3"/>
    </row>
    <row r="945" spans="1:14" ht="13" x14ac:dyDescent="0.15">
      <c r="A945" s="29"/>
      <c r="B945" s="2"/>
      <c r="C945" s="2"/>
      <c r="D945" s="2"/>
      <c r="E945" s="3"/>
      <c r="F945" s="3"/>
      <c r="G945" s="7"/>
      <c r="J945" s="7"/>
      <c r="K945" s="7"/>
      <c r="M945" s="3"/>
      <c r="N945" s="3"/>
    </row>
    <row r="946" spans="1:14" ht="13" x14ac:dyDescent="0.15">
      <c r="A946" s="29"/>
      <c r="B946" s="2"/>
      <c r="C946" s="2"/>
      <c r="D946" s="2"/>
      <c r="E946" s="3"/>
      <c r="F946" s="3"/>
      <c r="G946" s="7"/>
      <c r="J946" s="7"/>
      <c r="K946" s="7"/>
      <c r="M946" s="3"/>
      <c r="N946" s="3"/>
    </row>
    <row r="947" spans="1:14" ht="13" x14ac:dyDescent="0.15">
      <c r="A947" s="29"/>
      <c r="B947" s="2"/>
      <c r="C947" s="2"/>
      <c r="D947" s="2"/>
      <c r="E947" s="3"/>
      <c r="F947" s="3"/>
      <c r="G947" s="7"/>
      <c r="J947" s="7"/>
      <c r="K947" s="7"/>
      <c r="M947" s="3"/>
      <c r="N947" s="3"/>
    </row>
    <row r="948" spans="1:14" ht="13" x14ac:dyDescent="0.15">
      <c r="A948" s="29"/>
      <c r="B948" s="2"/>
      <c r="C948" s="2"/>
      <c r="D948" s="2"/>
      <c r="E948" s="3"/>
      <c r="F948" s="3"/>
      <c r="G948" s="7"/>
      <c r="J948" s="7"/>
      <c r="K948" s="7"/>
      <c r="M948" s="3"/>
      <c r="N948" s="3"/>
    </row>
    <row r="949" spans="1:14" ht="13" x14ac:dyDescent="0.15">
      <c r="A949" s="29"/>
      <c r="B949" s="2"/>
      <c r="C949" s="2"/>
      <c r="D949" s="2"/>
      <c r="E949" s="3"/>
      <c r="F949" s="3"/>
      <c r="G949" s="7"/>
      <c r="J949" s="7"/>
      <c r="K949" s="7"/>
      <c r="M949" s="3"/>
      <c r="N949" s="3"/>
    </row>
    <row r="950" spans="1:14" ht="13" x14ac:dyDescent="0.15">
      <c r="A950" s="29"/>
      <c r="B950" s="2"/>
      <c r="C950" s="2"/>
      <c r="D950" s="2"/>
      <c r="E950" s="3"/>
      <c r="F950" s="3"/>
      <c r="G950" s="7"/>
      <c r="J950" s="7"/>
      <c r="K950" s="7"/>
      <c r="M950" s="3"/>
      <c r="N950" s="3"/>
    </row>
    <row r="951" spans="1:14" ht="13" x14ac:dyDescent="0.15">
      <c r="A951" s="29"/>
      <c r="B951" s="2"/>
      <c r="C951" s="2"/>
      <c r="D951" s="2"/>
      <c r="E951" s="3"/>
      <c r="F951" s="3"/>
      <c r="G951" s="7"/>
      <c r="J951" s="7"/>
      <c r="K951" s="7"/>
      <c r="M951" s="3"/>
      <c r="N951" s="3"/>
    </row>
    <row r="952" spans="1:14" ht="13" x14ac:dyDescent="0.15">
      <c r="A952" s="29"/>
      <c r="B952" s="2"/>
      <c r="C952" s="2"/>
      <c r="D952" s="2"/>
      <c r="E952" s="3"/>
      <c r="F952" s="3"/>
      <c r="G952" s="7"/>
      <c r="J952" s="7"/>
      <c r="K952" s="7"/>
      <c r="M952" s="3"/>
      <c r="N952" s="3"/>
    </row>
    <row r="953" spans="1:14" ht="13" x14ac:dyDescent="0.15">
      <c r="A953" s="29"/>
      <c r="B953" s="2"/>
      <c r="C953" s="2"/>
      <c r="D953" s="2"/>
      <c r="E953" s="3"/>
      <c r="F953" s="3"/>
      <c r="G953" s="7"/>
      <c r="J953" s="7"/>
      <c r="K953" s="7"/>
      <c r="M953" s="3"/>
      <c r="N953" s="3"/>
    </row>
    <row r="954" spans="1:14" ht="13" x14ac:dyDescent="0.15">
      <c r="A954" s="29"/>
      <c r="B954" s="2"/>
      <c r="C954" s="2"/>
      <c r="D954" s="2"/>
      <c r="E954" s="3"/>
      <c r="F954" s="3"/>
      <c r="G954" s="7"/>
      <c r="J954" s="7"/>
      <c r="K954" s="7"/>
      <c r="M954" s="3"/>
      <c r="N954" s="3"/>
    </row>
    <row r="955" spans="1:14" ht="13" x14ac:dyDescent="0.15">
      <c r="A955" s="29"/>
      <c r="B955" s="2"/>
      <c r="C955" s="2"/>
      <c r="D955" s="2"/>
      <c r="E955" s="3"/>
      <c r="F955" s="3"/>
      <c r="G955" s="7"/>
      <c r="J955" s="7"/>
      <c r="K955" s="7"/>
      <c r="M955" s="3"/>
      <c r="N955" s="3"/>
    </row>
    <row r="956" spans="1:14" ht="13" x14ac:dyDescent="0.15">
      <c r="A956" s="29"/>
      <c r="B956" s="2"/>
      <c r="C956" s="2"/>
      <c r="D956" s="2"/>
      <c r="E956" s="3"/>
      <c r="F956" s="3"/>
      <c r="G956" s="7"/>
      <c r="J956" s="7"/>
      <c r="K956" s="7"/>
      <c r="M956" s="3"/>
      <c r="N956" s="3"/>
    </row>
    <row r="957" spans="1:14" ht="13" x14ac:dyDescent="0.15">
      <c r="A957" s="29"/>
      <c r="B957" s="2"/>
      <c r="C957" s="2"/>
      <c r="D957" s="2"/>
      <c r="E957" s="3"/>
      <c r="F957" s="3"/>
      <c r="G957" s="7"/>
      <c r="J957" s="7"/>
      <c r="K957" s="7"/>
      <c r="M957" s="3"/>
      <c r="N957" s="3"/>
    </row>
    <row r="958" spans="1:14" ht="13" x14ac:dyDescent="0.15">
      <c r="A958" s="29"/>
      <c r="B958" s="2"/>
      <c r="C958" s="2"/>
      <c r="D958" s="2"/>
      <c r="E958" s="3"/>
      <c r="F958" s="3"/>
      <c r="G958" s="7"/>
      <c r="J958" s="7"/>
      <c r="K958" s="7"/>
      <c r="M958" s="3"/>
      <c r="N958" s="3"/>
    </row>
    <row r="959" spans="1:14" ht="13" x14ac:dyDescent="0.15">
      <c r="A959" s="29"/>
      <c r="B959" s="2"/>
      <c r="C959" s="2"/>
      <c r="D959" s="2"/>
      <c r="E959" s="3"/>
      <c r="F959" s="3"/>
      <c r="G959" s="7"/>
      <c r="J959" s="7"/>
      <c r="K959" s="7"/>
      <c r="M959" s="3"/>
      <c r="N959" s="3"/>
    </row>
    <row r="960" spans="1:14" ht="13" x14ac:dyDescent="0.15">
      <c r="A960" s="29"/>
      <c r="B960" s="2"/>
      <c r="C960" s="2"/>
      <c r="D960" s="2"/>
      <c r="E960" s="3"/>
      <c r="F960" s="3"/>
      <c r="G960" s="7"/>
      <c r="J960" s="7"/>
      <c r="K960" s="7"/>
      <c r="M960" s="3"/>
      <c r="N960" s="3"/>
    </row>
    <row r="961" spans="1:14" ht="13" x14ac:dyDescent="0.15">
      <c r="A961" s="29"/>
      <c r="B961" s="2"/>
      <c r="C961" s="2"/>
      <c r="D961" s="2"/>
      <c r="E961" s="3"/>
      <c r="F961" s="3"/>
      <c r="G961" s="7"/>
      <c r="J961" s="7"/>
      <c r="K961" s="7"/>
      <c r="M961" s="3"/>
      <c r="N961" s="3"/>
    </row>
    <row r="962" spans="1:14" ht="13" x14ac:dyDescent="0.15">
      <c r="A962" s="29"/>
      <c r="B962" s="2"/>
      <c r="C962" s="2"/>
      <c r="D962" s="2"/>
      <c r="E962" s="3"/>
      <c r="F962" s="3"/>
      <c r="G962" s="7"/>
      <c r="J962" s="7"/>
      <c r="K962" s="7"/>
      <c r="M962" s="3"/>
      <c r="N962" s="3"/>
    </row>
    <row r="963" spans="1:14" ht="13" x14ac:dyDescent="0.15">
      <c r="A963" s="29"/>
      <c r="B963" s="2"/>
      <c r="C963" s="2"/>
      <c r="D963" s="2"/>
      <c r="E963" s="3"/>
      <c r="F963" s="3"/>
      <c r="G963" s="7"/>
      <c r="J963" s="7"/>
      <c r="K963" s="7"/>
      <c r="M963" s="3"/>
      <c r="N963" s="3"/>
    </row>
    <row r="964" spans="1:14" ht="13" x14ac:dyDescent="0.15">
      <c r="A964" s="29"/>
      <c r="B964" s="2"/>
      <c r="C964" s="2"/>
      <c r="D964" s="2"/>
      <c r="E964" s="3"/>
      <c r="F964" s="3"/>
      <c r="G964" s="7"/>
      <c r="J964" s="7"/>
      <c r="K964" s="7"/>
      <c r="M964" s="3"/>
      <c r="N964" s="3"/>
    </row>
    <row r="965" spans="1:14" ht="13" x14ac:dyDescent="0.15">
      <c r="A965" s="29"/>
      <c r="B965" s="2"/>
      <c r="C965" s="2"/>
      <c r="D965" s="2"/>
      <c r="E965" s="3"/>
      <c r="F965" s="3"/>
      <c r="G965" s="7"/>
      <c r="J965" s="7"/>
      <c r="K965" s="7"/>
      <c r="M965" s="3"/>
      <c r="N965" s="3"/>
    </row>
    <row r="966" spans="1:14" ht="13" x14ac:dyDescent="0.15">
      <c r="A966" s="29"/>
      <c r="B966" s="2"/>
      <c r="C966" s="2"/>
      <c r="D966" s="2"/>
      <c r="E966" s="3"/>
      <c r="F966" s="3"/>
      <c r="G966" s="7"/>
      <c r="J966" s="7"/>
      <c r="K966" s="7"/>
      <c r="M966" s="3"/>
      <c r="N966" s="3"/>
    </row>
    <row r="967" spans="1:14" ht="13" x14ac:dyDescent="0.15">
      <c r="A967" s="29"/>
      <c r="B967" s="2"/>
      <c r="C967" s="2"/>
      <c r="D967" s="2"/>
      <c r="E967" s="3"/>
      <c r="F967" s="3"/>
      <c r="G967" s="7"/>
      <c r="J967" s="7"/>
      <c r="K967" s="7"/>
      <c r="M967" s="3"/>
      <c r="N967" s="3"/>
    </row>
    <row r="968" spans="1:14" ht="13" x14ac:dyDescent="0.15">
      <c r="A968" s="29"/>
      <c r="B968" s="2"/>
      <c r="C968" s="2"/>
      <c r="D968" s="2"/>
      <c r="E968" s="3"/>
      <c r="F968" s="3"/>
      <c r="G968" s="7"/>
      <c r="J968" s="7"/>
      <c r="K968" s="7"/>
      <c r="M968" s="3"/>
      <c r="N968" s="3"/>
    </row>
    <row r="969" spans="1:14" ht="13" x14ac:dyDescent="0.15">
      <c r="A969" s="29"/>
      <c r="B969" s="2"/>
      <c r="C969" s="2"/>
      <c r="D969" s="2"/>
      <c r="E969" s="3"/>
      <c r="F969" s="3"/>
      <c r="G969" s="7"/>
      <c r="J969" s="7"/>
      <c r="K969" s="7"/>
      <c r="M969" s="3"/>
      <c r="N969" s="3"/>
    </row>
    <row r="970" spans="1:14" ht="13" x14ac:dyDescent="0.15">
      <c r="A970" s="29"/>
      <c r="B970" s="2"/>
      <c r="C970" s="2"/>
      <c r="D970" s="2"/>
      <c r="E970" s="3"/>
      <c r="F970" s="3"/>
      <c r="G970" s="7"/>
      <c r="J970" s="7"/>
      <c r="K970" s="7"/>
      <c r="M970" s="3"/>
      <c r="N970" s="3"/>
    </row>
    <row r="971" spans="1:14" ht="13" x14ac:dyDescent="0.15">
      <c r="A971" s="29"/>
      <c r="B971" s="2"/>
      <c r="C971" s="2"/>
      <c r="D971" s="2"/>
      <c r="E971" s="3"/>
      <c r="F971" s="3"/>
      <c r="G971" s="7"/>
      <c r="J971" s="7"/>
      <c r="K971" s="7"/>
      <c r="M971" s="3"/>
      <c r="N971" s="3"/>
    </row>
    <row r="972" spans="1:14" ht="13" x14ac:dyDescent="0.15">
      <c r="A972" s="29"/>
      <c r="B972" s="2"/>
      <c r="C972" s="2"/>
      <c r="D972" s="2"/>
      <c r="E972" s="3"/>
      <c r="F972" s="3"/>
      <c r="G972" s="7"/>
      <c r="J972" s="7"/>
      <c r="K972" s="7"/>
      <c r="M972" s="3"/>
      <c r="N972" s="3"/>
    </row>
    <row r="973" spans="1:14" ht="13" x14ac:dyDescent="0.15">
      <c r="A973" s="29"/>
      <c r="B973" s="2"/>
      <c r="C973" s="2"/>
      <c r="D973" s="2"/>
      <c r="E973" s="3"/>
      <c r="F973" s="3"/>
      <c r="G973" s="7"/>
      <c r="J973" s="7"/>
      <c r="K973" s="7"/>
      <c r="M973" s="3"/>
      <c r="N973" s="3"/>
    </row>
    <row r="974" spans="1:14" ht="13" x14ac:dyDescent="0.15">
      <c r="A974" s="29"/>
      <c r="B974" s="2"/>
      <c r="C974" s="2"/>
      <c r="D974" s="2"/>
      <c r="E974" s="3"/>
      <c r="F974" s="3"/>
      <c r="G974" s="7"/>
      <c r="J974" s="7"/>
      <c r="K974" s="7"/>
      <c r="M974" s="3"/>
      <c r="N974" s="3"/>
    </row>
    <row r="975" spans="1:14" ht="13" x14ac:dyDescent="0.15">
      <c r="A975" s="29"/>
      <c r="B975" s="2"/>
      <c r="C975" s="2"/>
      <c r="D975" s="2"/>
      <c r="E975" s="3"/>
      <c r="F975" s="3"/>
      <c r="G975" s="7"/>
      <c r="J975" s="7"/>
      <c r="K975" s="7"/>
      <c r="M975" s="3"/>
      <c r="N975" s="3"/>
    </row>
    <row r="976" spans="1:14" ht="13" x14ac:dyDescent="0.15">
      <c r="A976" s="29"/>
      <c r="B976" s="2"/>
      <c r="C976" s="2"/>
      <c r="D976" s="2"/>
      <c r="E976" s="3"/>
      <c r="F976" s="3"/>
      <c r="G976" s="7"/>
      <c r="J976" s="7"/>
      <c r="K976" s="7"/>
      <c r="M976" s="3"/>
      <c r="N976" s="3"/>
    </row>
    <row r="977" spans="1:14" ht="13" x14ac:dyDescent="0.15">
      <c r="A977" s="29"/>
      <c r="B977" s="2"/>
      <c r="C977" s="2"/>
      <c r="D977" s="2"/>
      <c r="E977" s="3"/>
      <c r="F977" s="3"/>
      <c r="G977" s="7"/>
      <c r="J977" s="7"/>
      <c r="K977" s="7"/>
      <c r="M977" s="3"/>
      <c r="N977" s="3"/>
    </row>
    <row r="978" spans="1:14" ht="13" x14ac:dyDescent="0.15">
      <c r="A978" s="29"/>
      <c r="B978" s="2"/>
      <c r="C978" s="2"/>
      <c r="D978" s="2"/>
      <c r="E978" s="3"/>
      <c r="F978" s="3"/>
      <c r="G978" s="7"/>
      <c r="J978" s="7"/>
      <c r="K978" s="7"/>
      <c r="M978" s="3"/>
      <c r="N978" s="3"/>
    </row>
    <row r="979" spans="1:14" ht="13" x14ac:dyDescent="0.15">
      <c r="A979" s="29"/>
      <c r="B979" s="2"/>
      <c r="C979" s="2"/>
      <c r="D979" s="2"/>
      <c r="E979" s="3"/>
      <c r="F979" s="3"/>
      <c r="G979" s="7"/>
      <c r="J979" s="7"/>
      <c r="K979" s="7"/>
      <c r="M979" s="3"/>
      <c r="N979" s="3"/>
    </row>
    <row r="980" spans="1:14" ht="13" x14ac:dyDescent="0.15">
      <c r="A980" s="29"/>
      <c r="B980" s="2"/>
      <c r="C980" s="2"/>
      <c r="D980" s="2"/>
      <c r="E980" s="3"/>
      <c r="F980" s="3"/>
      <c r="G980" s="7"/>
      <c r="J980" s="7"/>
      <c r="K980" s="7"/>
      <c r="M980" s="3"/>
      <c r="N980" s="3"/>
    </row>
    <row r="981" spans="1:14" ht="13" x14ac:dyDescent="0.15">
      <c r="A981" s="29"/>
      <c r="B981" s="2"/>
      <c r="C981" s="2"/>
      <c r="D981" s="2"/>
      <c r="E981" s="3"/>
      <c r="F981" s="3"/>
      <c r="G981" s="7"/>
      <c r="J981" s="7"/>
      <c r="K981" s="7"/>
      <c r="M981" s="3"/>
      <c r="N981" s="3"/>
    </row>
    <row r="982" spans="1:14" ht="13" x14ac:dyDescent="0.15">
      <c r="A982" s="29"/>
      <c r="B982" s="2"/>
      <c r="C982" s="2"/>
      <c r="D982" s="2"/>
      <c r="E982" s="3"/>
      <c r="F982" s="3"/>
      <c r="G982" s="7"/>
      <c r="J982" s="7"/>
      <c r="K982" s="7"/>
      <c r="M982" s="3"/>
      <c r="N982" s="3"/>
    </row>
    <row r="983" spans="1:14" ht="13" x14ac:dyDescent="0.15">
      <c r="A983" s="29"/>
      <c r="B983" s="2"/>
      <c r="C983" s="2"/>
      <c r="D983" s="2"/>
      <c r="E983" s="3"/>
      <c r="F983" s="3"/>
      <c r="G983" s="7"/>
      <c r="J983" s="7"/>
      <c r="K983" s="7"/>
      <c r="M983" s="3"/>
      <c r="N983" s="3"/>
    </row>
    <row r="984" spans="1:14" ht="13" x14ac:dyDescent="0.15">
      <c r="A984" s="29"/>
      <c r="B984" s="2"/>
      <c r="C984" s="2"/>
      <c r="D984" s="2"/>
      <c r="E984" s="3"/>
      <c r="F984" s="3"/>
      <c r="G984" s="7"/>
      <c r="J984" s="7"/>
      <c r="K984" s="7"/>
      <c r="M984" s="3"/>
      <c r="N984" s="3"/>
    </row>
    <row r="985" spans="1:14" ht="13" x14ac:dyDescent="0.15">
      <c r="A985" s="29"/>
      <c r="B985" s="2"/>
      <c r="C985" s="2"/>
      <c r="D985" s="2"/>
      <c r="E985" s="3"/>
      <c r="F985" s="3"/>
      <c r="G985" s="7"/>
      <c r="J985" s="7"/>
      <c r="K985" s="7"/>
      <c r="M985" s="3"/>
      <c r="N985" s="3"/>
    </row>
    <row r="986" spans="1:14" ht="13" x14ac:dyDescent="0.15">
      <c r="A986" s="29"/>
      <c r="B986" s="2"/>
      <c r="C986" s="2"/>
      <c r="D986" s="2"/>
      <c r="E986" s="3"/>
      <c r="F986" s="3"/>
      <c r="G986" s="7"/>
      <c r="J986" s="7"/>
      <c r="K986" s="7"/>
      <c r="M986" s="3"/>
      <c r="N986" s="3"/>
    </row>
    <row r="987" spans="1:14" ht="13" x14ac:dyDescent="0.15">
      <c r="A987" s="29"/>
      <c r="B987" s="2"/>
      <c r="C987" s="2"/>
      <c r="D987" s="2"/>
      <c r="E987" s="3"/>
      <c r="F987" s="3"/>
      <c r="G987" s="7"/>
      <c r="J987" s="7"/>
      <c r="K987" s="7"/>
      <c r="M987" s="3"/>
      <c r="N987" s="3"/>
    </row>
    <row r="988" spans="1:14" ht="13" x14ac:dyDescent="0.15">
      <c r="A988" s="29"/>
      <c r="B988" s="2"/>
      <c r="C988" s="2"/>
      <c r="D988" s="2"/>
      <c r="E988" s="3"/>
      <c r="F988" s="3"/>
      <c r="G988" s="7"/>
      <c r="J988" s="7"/>
      <c r="K988" s="7"/>
      <c r="M988" s="3"/>
      <c r="N988" s="3"/>
    </row>
    <row r="989" spans="1:14" ht="13" x14ac:dyDescent="0.15">
      <c r="A989" s="29"/>
      <c r="B989" s="2"/>
      <c r="C989" s="2"/>
      <c r="D989" s="2"/>
      <c r="E989" s="3"/>
      <c r="F989" s="3"/>
      <c r="G989" s="7"/>
      <c r="J989" s="7"/>
      <c r="K989" s="7"/>
      <c r="M989" s="3"/>
      <c r="N989" s="3"/>
    </row>
    <row r="990" spans="1:14" ht="13" x14ac:dyDescent="0.15">
      <c r="A990" s="29"/>
      <c r="B990" s="2"/>
      <c r="C990" s="2"/>
      <c r="D990" s="2"/>
      <c r="E990" s="3"/>
      <c r="F990" s="3"/>
      <c r="G990" s="7"/>
      <c r="J990" s="7"/>
      <c r="K990" s="7"/>
      <c r="M990" s="3"/>
      <c r="N990" s="3"/>
    </row>
    <row r="991" spans="1:14" ht="13" x14ac:dyDescent="0.15">
      <c r="A991" s="29"/>
      <c r="B991" s="2"/>
      <c r="C991" s="2"/>
      <c r="D991" s="2"/>
      <c r="E991" s="3"/>
      <c r="F991" s="3"/>
      <c r="G991" s="7"/>
      <c r="J991" s="7"/>
      <c r="K991" s="7"/>
      <c r="M991" s="3"/>
      <c r="N991" s="3"/>
    </row>
    <row r="992" spans="1:14" ht="13" x14ac:dyDescent="0.15">
      <c r="A992" s="29"/>
      <c r="B992" s="2"/>
      <c r="C992" s="2"/>
      <c r="D992" s="2"/>
      <c r="E992" s="3"/>
      <c r="F992" s="3"/>
      <c r="G992" s="7"/>
      <c r="J992" s="7"/>
      <c r="K992" s="7"/>
      <c r="M992" s="3"/>
      <c r="N992" s="3"/>
    </row>
    <row r="993" spans="1:14" ht="13" x14ac:dyDescent="0.15">
      <c r="A993" s="29"/>
      <c r="B993" s="2"/>
      <c r="C993" s="2"/>
      <c r="D993" s="2"/>
      <c r="E993" s="3"/>
      <c r="F993" s="3"/>
      <c r="G993" s="7"/>
      <c r="J993" s="7"/>
      <c r="K993" s="7"/>
      <c r="M993" s="3"/>
      <c r="N993" s="3"/>
    </row>
    <row r="994" spans="1:14" ht="13" x14ac:dyDescent="0.15">
      <c r="A994" s="29"/>
      <c r="B994" s="2"/>
      <c r="C994" s="2"/>
      <c r="D994" s="2"/>
      <c r="E994" s="3"/>
      <c r="F994" s="3"/>
      <c r="G994" s="7"/>
      <c r="J994" s="7"/>
      <c r="K994" s="7"/>
      <c r="M994" s="3"/>
      <c r="N994" s="3"/>
    </row>
    <row r="995" spans="1:14" ht="13" x14ac:dyDescent="0.15">
      <c r="A995" s="29"/>
      <c r="B995" s="2"/>
      <c r="C995" s="2"/>
      <c r="D995" s="2"/>
      <c r="E995" s="3"/>
      <c r="F995" s="3"/>
      <c r="G995" s="7"/>
      <c r="J995" s="7"/>
      <c r="K995" s="7"/>
      <c r="M995" s="3"/>
      <c r="N995" s="3"/>
    </row>
    <row r="996" spans="1:14" ht="13" x14ac:dyDescent="0.15">
      <c r="A996" s="29"/>
      <c r="B996" s="2"/>
      <c r="C996" s="2"/>
      <c r="D996" s="2"/>
      <c r="E996" s="3"/>
      <c r="F996" s="3"/>
      <c r="G996" s="7"/>
      <c r="J996" s="7"/>
      <c r="K996" s="7"/>
      <c r="M996" s="3"/>
      <c r="N996" s="3"/>
    </row>
    <row r="997" spans="1:14" ht="13" x14ac:dyDescent="0.15">
      <c r="A997" s="29"/>
      <c r="B997" s="2"/>
      <c r="C997" s="2"/>
      <c r="D997" s="2"/>
      <c r="E997" s="3"/>
      <c r="F997" s="3"/>
      <c r="G997" s="7"/>
      <c r="J997" s="7"/>
      <c r="K997" s="7"/>
      <c r="M997" s="3"/>
      <c r="N997" s="3"/>
    </row>
    <row r="998" spans="1:14" ht="13" x14ac:dyDescent="0.15">
      <c r="A998" s="29"/>
      <c r="B998" s="2"/>
      <c r="C998" s="2"/>
      <c r="D998" s="2"/>
      <c r="E998" s="3"/>
      <c r="F998" s="3"/>
      <c r="G998" s="7"/>
      <c r="J998" s="7"/>
      <c r="K998" s="7"/>
      <c r="M998" s="3"/>
      <c r="N998" s="3"/>
    </row>
    <row r="999" spans="1:14" ht="13" x14ac:dyDescent="0.15">
      <c r="A999" s="29"/>
      <c r="B999" s="2"/>
      <c r="C999" s="2"/>
      <c r="D999" s="2"/>
      <c r="E999" s="3"/>
      <c r="F999" s="3"/>
      <c r="G999" s="7"/>
      <c r="J999" s="7"/>
      <c r="K999" s="7"/>
      <c r="M999" s="3"/>
      <c r="N999" s="3"/>
    </row>
    <row r="1000" spans="1:14" ht="13" x14ac:dyDescent="0.15">
      <c r="A1000" s="29"/>
      <c r="B1000" s="2"/>
      <c r="C1000" s="2"/>
      <c r="D1000" s="2"/>
      <c r="E1000" s="3"/>
      <c r="F1000" s="3"/>
      <c r="G1000" s="7"/>
      <c r="J1000" s="7"/>
      <c r="K1000" s="7"/>
      <c r="M1000" s="3"/>
      <c r="N1000" s="3"/>
    </row>
    <row r="1001" spans="1:14" ht="13" x14ac:dyDescent="0.15">
      <c r="A1001" s="29"/>
      <c r="B1001" s="2"/>
      <c r="C1001" s="2"/>
      <c r="D1001" s="2"/>
      <c r="E1001" s="3"/>
      <c r="F1001" s="3"/>
      <c r="G1001" s="7"/>
      <c r="J1001" s="7"/>
      <c r="K1001" s="7"/>
      <c r="M1001" s="3"/>
      <c r="N1001" s="3"/>
    </row>
    <row r="1002" spans="1:14" ht="13" x14ac:dyDescent="0.15">
      <c r="A1002" s="29"/>
      <c r="B1002" s="2"/>
      <c r="C1002" s="2"/>
      <c r="D1002" s="2"/>
      <c r="E1002" s="3"/>
      <c r="F1002" s="3"/>
      <c r="G1002" s="7"/>
      <c r="J1002" s="7"/>
      <c r="K1002" s="7"/>
      <c r="M1002" s="3"/>
      <c r="N1002" s="3"/>
    </row>
    <row r="1003" spans="1:14" ht="13" x14ac:dyDescent="0.15">
      <c r="A1003" s="29"/>
      <c r="B1003" s="2"/>
      <c r="C1003" s="2"/>
      <c r="D1003" s="2"/>
      <c r="E1003" s="3"/>
      <c r="F1003" s="3"/>
      <c r="G1003" s="7"/>
      <c r="J1003" s="7"/>
      <c r="K1003" s="7"/>
      <c r="M1003" s="3"/>
      <c r="N1003" s="3"/>
    </row>
    <row r="1004" spans="1:14" ht="13" x14ac:dyDescent="0.15">
      <c r="A1004" s="29"/>
      <c r="B1004" s="2"/>
      <c r="C1004" s="2"/>
      <c r="D1004" s="2"/>
      <c r="E1004" s="3"/>
      <c r="F1004" s="3"/>
      <c r="G1004" s="7"/>
      <c r="J1004" s="7"/>
      <c r="K1004" s="7"/>
      <c r="M1004" s="3"/>
      <c r="N1004" s="3"/>
    </row>
    <row r="1005" spans="1:14" ht="13" x14ac:dyDescent="0.15">
      <c r="A1005" s="29"/>
      <c r="B1005" s="2"/>
      <c r="C1005" s="2"/>
      <c r="D1005" s="2"/>
      <c r="E1005" s="3"/>
      <c r="F1005" s="3"/>
      <c r="G1005" s="7"/>
      <c r="J1005" s="7"/>
      <c r="K1005" s="7"/>
      <c r="M1005" s="3"/>
      <c r="N1005" s="3"/>
    </row>
    <row r="1006" spans="1:14" ht="13" x14ac:dyDescent="0.15">
      <c r="A1006" s="29"/>
      <c r="B1006" s="2"/>
      <c r="C1006" s="2"/>
      <c r="D1006" s="2"/>
      <c r="E1006" s="3"/>
      <c r="F1006" s="3"/>
      <c r="G1006" s="7"/>
      <c r="J1006" s="7"/>
      <c r="K1006" s="7"/>
      <c r="M1006" s="3"/>
      <c r="N1006" s="3"/>
    </row>
    <row r="1007" spans="1:14" ht="13" x14ac:dyDescent="0.15">
      <c r="A1007" s="29"/>
      <c r="B1007" s="2"/>
      <c r="C1007" s="2"/>
      <c r="D1007" s="2"/>
      <c r="E1007" s="3"/>
      <c r="F1007" s="3"/>
      <c r="G1007" s="7"/>
      <c r="J1007" s="7"/>
      <c r="K1007" s="7"/>
      <c r="M1007" s="3"/>
      <c r="N1007" s="3"/>
    </row>
    <row r="1008" spans="1:14" ht="13" x14ac:dyDescent="0.15">
      <c r="A1008" s="29"/>
      <c r="B1008" s="2"/>
      <c r="C1008" s="2"/>
      <c r="D1008" s="2"/>
      <c r="E1008" s="3"/>
      <c r="F1008" s="3"/>
      <c r="G1008" s="7"/>
      <c r="J1008" s="7"/>
      <c r="K1008" s="7"/>
      <c r="M1008" s="3"/>
      <c r="N1008" s="3"/>
    </row>
    <row r="1009" spans="1:14" ht="13" x14ac:dyDescent="0.15">
      <c r="A1009" s="29"/>
      <c r="B1009" s="2"/>
      <c r="C1009" s="2"/>
      <c r="D1009" s="2"/>
      <c r="E1009" s="3"/>
      <c r="F1009" s="3"/>
      <c r="G1009" s="7"/>
      <c r="J1009" s="7"/>
      <c r="K1009" s="7"/>
      <c r="M1009" s="3"/>
      <c r="N1009" s="3"/>
    </row>
    <row r="1010" spans="1:14" ht="13" x14ac:dyDescent="0.15">
      <c r="A1010" s="29"/>
      <c r="B1010" s="2"/>
      <c r="C1010" s="2"/>
      <c r="D1010" s="2"/>
      <c r="E1010" s="3"/>
      <c r="F1010" s="3"/>
      <c r="G1010" s="7"/>
      <c r="J1010" s="7"/>
      <c r="K1010" s="7"/>
      <c r="M1010" s="3"/>
      <c r="N1010" s="3"/>
    </row>
    <row r="1011" spans="1:14" ht="13" x14ac:dyDescent="0.15">
      <c r="A1011" s="29"/>
      <c r="B1011" s="2"/>
      <c r="C1011" s="2"/>
      <c r="D1011" s="2"/>
      <c r="E1011" s="3"/>
      <c r="F1011" s="3"/>
      <c r="G1011" s="7"/>
      <c r="J1011" s="7"/>
      <c r="K1011" s="7"/>
      <c r="M1011" s="3"/>
      <c r="N1011" s="3"/>
    </row>
    <row r="1012" spans="1:14" ht="13" x14ac:dyDescent="0.15">
      <c r="A1012" s="29"/>
      <c r="B1012" s="2"/>
      <c r="C1012" s="2"/>
      <c r="D1012" s="2"/>
      <c r="E1012" s="3"/>
      <c r="F1012" s="3"/>
      <c r="G1012" s="7"/>
      <c r="J1012" s="7"/>
      <c r="K1012" s="7"/>
      <c r="M1012" s="3"/>
      <c r="N1012" s="3"/>
    </row>
    <row r="1013" spans="1:14" ht="13" x14ac:dyDescent="0.15">
      <c r="A1013" s="29"/>
      <c r="B1013" s="2"/>
      <c r="C1013" s="2"/>
      <c r="D1013" s="2"/>
      <c r="E1013" s="3"/>
      <c r="F1013" s="3"/>
      <c r="G1013" s="7"/>
      <c r="J1013" s="7"/>
      <c r="K1013" s="7"/>
      <c r="M1013" s="3"/>
      <c r="N1013" s="3"/>
    </row>
    <row r="1014" spans="1:14" ht="13" x14ac:dyDescent="0.15">
      <c r="A1014" s="29"/>
      <c r="B1014" s="2"/>
      <c r="C1014" s="2"/>
      <c r="D1014" s="2"/>
      <c r="E1014" s="3"/>
      <c r="F1014" s="3"/>
      <c r="G1014" s="7"/>
      <c r="J1014" s="7"/>
      <c r="K1014" s="7"/>
      <c r="M1014" s="3"/>
      <c r="N1014" s="3"/>
    </row>
    <row r="1015" spans="1:14" ht="13" x14ac:dyDescent="0.15">
      <c r="A1015" s="29"/>
      <c r="B1015" s="2"/>
      <c r="C1015" s="2"/>
      <c r="D1015" s="2"/>
      <c r="E1015" s="3"/>
      <c r="F1015" s="3"/>
      <c r="G1015" s="7"/>
      <c r="J1015" s="7"/>
      <c r="K1015" s="7"/>
      <c r="M1015" s="3"/>
      <c r="N1015" s="3"/>
    </row>
    <row r="1016" spans="1:14" ht="13" x14ac:dyDescent="0.15">
      <c r="A1016" s="29"/>
      <c r="B1016" s="2"/>
      <c r="C1016" s="2"/>
      <c r="D1016" s="2"/>
      <c r="E1016" s="3"/>
      <c r="F1016" s="3"/>
      <c r="G1016" s="7"/>
      <c r="J1016" s="7"/>
      <c r="K1016" s="7"/>
      <c r="M1016" s="3"/>
      <c r="N1016" s="3"/>
    </row>
    <row r="1017" spans="1:14" ht="13" x14ac:dyDescent="0.15">
      <c r="A1017" s="29"/>
      <c r="B1017" s="2"/>
      <c r="C1017" s="2"/>
      <c r="D1017" s="2"/>
      <c r="E1017" s="3"/>
      <c r="F1017" s="3"/>
      <c r="G1017" s="7"/>
      <c r="J1017" s="7"/>
      <c r="K1017" s="7"/>
      <c r="M1017" s="3"/>
      <c r="N1017" s="3"/>
    </row>
    <row r="1018" spans="1:14" ht="13" x14ac:dyDescent="0.15">
      <c r="A1018" s="29"/>
      <c r="B1018" s="2"/>
      <c r="C1018" s="2"/>
      <c r="D1018" s="2"/>
      <c r="E1018" s="3"/>
      <c r="F1018" s="3"/>
      <c r="G1018" s="7"/>
      <c r="J1018" s="7"/>
      <c r="K1018" s="7"/>
      <c r="M1018" s="3"/>
      <c r="N1018" s="3"/>
    </row>
    <row r="1019" spans="1:14" ht="13" x14ac:dyDescent="0.15">
      <c r="A1019" s="29"/>
      <c r="B1019" s="2"/>
      <c r="C1019" s="2"/>
      <c r="D1019" s="2"/>
      <c r="E1019" s="3"/>
      <c r="F1019" s="3"/>
      <c r="G1019" s="7"/>
      <c r="J1019" s="7"/>
      <c r="K1019" s="7"/>
      <c r="M1019" s="3"/>
      <c r="N1019" s="3"/>
    </row>
    <row r="1020" spans="1:14" ht="13" x14ac:dyDescent="0.15">
      <c r="A1020" s="29"/>
      <c r="B1020" s="2"/>
      <c r="C1020" s="2"/>
      <c r="D1020" s="2"/>
      <c r="E1020" s="3"/>
      <c r="F1020" s="3"/>
      <c r="G1020" s="7"/>
      <c r="J1020" s="7"/>
      <c r="K1020" s="7"/>
      <c r="M1020" s="3"/>
      <c r="N1020" s="3"/>
    </row>
    <row r="1021" spans="1:14" ht="13" x14ac:dyDescent="0.15">
      <c r="A1021" s="29"/>
      <c r="B1021" s="2"/>
      <c r="C1021" s="2"/>
      <c r="D1021" s="2"/>
      <c r="E1021" s="3"/>
      <c r="F1021" s="3"/>
      <c r="G1021" s="7"/>
      <c r="J1021" s="7"/>
      <c r="K1021" s="7"/>
      <c r="M1021" s="3"/>
      <c r="N1021" s="3"/>
    </row>
    <row r="1022" spans="1:14" ht="13" x14ac:dyDescent="0.15">
      <c r="A1022" s="29"/>
      <c r="B1022" s="2"/>
      <c r="C1022" s="2"/>
      <c r="D1022" s="2"/>
      <c r="E1022" s="3"/>
      <c r="F1022" s="3"/>
      <c r="G1022" s="7"/>
      <c r="J1022" s="7"/>
      <c r="K1022" s="7"/>
      <c r="M1022" s="3"/>
      <c r="N1022" s="3"/>
    </row>
    <row r="1023" spans="1:14" ht="13" x14ac:dyDescent="0.15">
      <c r="A1023" s="29"/>
      <c r="B1023" s="2"/>
      <c r="C1023" s="2"/>
      <c r="D1023" s="2"/>
      <c r="E1023" s="3"/>
      <c r="F1023" s="3"/>
      <c r="G1023" s="7"/>
      <c r="J1023" s="7"/>
      <c r="K1023" s="7"/>
      <c r="M1023" s="3"/>
      <c r="N1023" s="3"/>
    </row>
    <row r="1024" spans="1:14" ht="13" x14ac:dyDescent="0.15">
      <c r="A1024" s="29"/>
      <c r="B1024" s="2"/>
      <c r="C1024" s="2"/>
      <c r="D1024" s="2"/>
      <c r="E1024" s="3"/>
      <c r="F1024" s="3"/>
      <c r="G1024" s="7"/>
      <c r="J1024" s="7"/>
      <c r="K1024" s="7"/>
      <c r="M1024" s="3"/>
      <c r="N1024" s="3"/>
    </row>
    <row r="1025" spans="1:14" ht="13" x14ac:dyDescent="0.15">
      <c r="A1025" s="29"/>
      <c r="B1025" s="2"/>
      <c r="C1025" s="2"/>
      <c r="D1025" s="2"/>
      <c r="E1025" s="3"/>
      <c r="F1025" s="3"/>
      <c r="G1025" s="7"/>
      <c r="J1025" s="7"/>
      <c r="K1025" s="7"/>
      <c r="M1025" s="3"/>
      <c r="N1025" s="3"/>
    </row>
    <row r="1026" spans="1:14" ht="13" x14ac:dyDescent="0.15">
      <c r="A1026" s="29"/>
      <c r="B1026" s="2"/>
      <c r="C1026" s="2"/>
      <c r="D1026" s="2"/>
      <c r="E1026" s="3"/>
      <c r="F1026" s="3"/>
      <c r="G1026" s="7"/>
      <c r="J1026" s="7"/>
      <c r="K1026" s="7"/>
      <c r="M1026" s="3"/>
      <c r="N1026" s="3"/>
    </row>
    <row r="1027" spans="1:14" ht="13" x14ac:dyDescent="0.15">
      <c r="A1027" s="29"/>
      <c r="B1027" s="2"/>
      <c r="C1027" s="2"/>
      <c r="D1027" s="2"/>
      <c r="E1027" s="3"/>
      <c r="F1027" s="3"/>
      <c r="G1027" s="7"/>
      <c r="J1027" s="7"/>
      <c r="K1027" s="7"/>
      <c r="M1027" s="3"/>
      <c r="N1027" s="3"/>
    </row>
    <row r="1028" spans="1:14" ht="13" x14ac:dyDescent="0.15">
      <c r="A1028" s="29"/>
      <c r="B1028" s="2"/>
      <c r="C1028" s="2"/>
      <c r="D1028" s="2"/>
      <c r="E1028" s="3"/>
      <c r="F1028" s="3"/>
      <c r="G1028" s="7"/>
      <c r="J1028" s="7"/>
      <c r="K1028" s="7"/>
      <c r="M1028" s="3"/>
      <c r="N1028" s="3"/>
    </row>
    <row r="1029" spans="1:14" ht="13" x14ac:dyDescent="0.15">
      <c r="A1029" s="29"/>
      <c r="B1029" s="2"/>
      <c r="C1029" s="2"/>
      <c r="D1029" s="2"/>
      <c r="E1029" s="3"/>
      <c r="F1029" s="3"/>
      <c r="G1029" s="7"/>
      <c r="J1029" s="7"/>
      <c r="K1029" s="7"/>
      <c r="M1029" s="3"/>
      <c r="N1029" s="3"/>
    </row>
    <row r="1030" spans="1:14" ht="13" x14ac:dyDescent="0.15">
      <c r="A1030" s="29"/>
      <c r="B1030" s="2"/>
      <c r="C1030" s="2"/>
      <c r="D1030" s="2"/>
      <c r="E1030" s="3"/>
      <c r="F1030" s="3"/>
      <c r="G1030" s="7"/>
      <c r="J1030" s="7"/>
      <c r="K1030" s="7"/>
      <c r="M1030" s="3"/>
      <c r="N1030" s="3"/>
    </row>
    <row r="1031" spans="1:14" ht="13" x14ac:dyDescent="0.15">
      <c r="A1031" s="29"/>
      <c r="B1031" s="2"/>
      <c r="C1031" s="2"/>
      <c r="D1031" s="2"/>
      <c r="E1031" s="3"/>
      <c r="F1031" s="3"/>
      <c r="G1031" s="7"/>
      <c r="J1031" s="7"/>
      <c r="K1031" s="7"/>
      <c r="M1031" s="3"/>
      <c r="N1031" s="3"/>
    </row>
    <row r="1032" spans="1:14" ht="13" x14ac:dyDescent="0.15">
      <c r="A1032" s="29"/>
      <c r="B1032" s="2"/>
      <c r="C1032" s="2"/>
      <c r="D1032" s="2"/>
      <c r="E1032" s="3"/>
      <c r="F1032" s="3"/>
      <c r="G1032" s="7"/>
      <c r="J1032" s="7"/>
      <c r="K1032" s="7"/>
      <c r="M1032" s="3"/>
      <c r="N1032" s="3"/>
    </row>
    <row r="1033" spans="1:14" ht="13" x14ac:dyDescent="0.15">
      <c r="A1033" s="29"/>
      <c r="B1033" s="2"/>
      <c r="C1033" s="2"/>
      <c r="D1033" s="2"/>
      <c r="E1033" s="3"/>
      <c r="F1033" s="3"/>
      <c r="G1033" s="7"/>
      <c r="J1033" s="7"/>
      <c r="K1033" s="7"/>
      <c r="M1033" s="3"/>
      <c r="N1033" s="3"/>
    </row>
    <row r="1034" spans="1:14" ht="13" x14ac:dyDescent="0.15">
      <c r="A1034" s="29"/>
      <c r="B1034" s="2"/>
      <c r="C1034" s="2"/>
      <c r="D1034" s="2"/>
      <c r="E1034" s="3"/>
      <c r="F1034" s="3"/>
      <c r="G1034" s="7"/>
      <c r="J1034" s="7"/>
      <c r="K1034" s="7"/>
      <c r="M1034" s="3"/>
      <c r="N1034" s="3"/>
    </row>
    <row r="1035" spans="1:14" ht="13" x14ac:dyDescent="0.15">
      <c r="A1035" s="29"/>
      <c r="B1035" s="2"/>
      <c r="C1035" s="2"/>
      <c r="D1035" s="2"/>
      <c r="E1035" s="3"/>
      <c r="F1035" s="3"/>
      <c r="G1035" s="7"/>
      <c r="J1035" s="7"/>
      <c r="K1035" s="7"/>
      <c r="M1035" s="3"/>
      <c r="N1035" s="3"/>
    </row>
    <row r="1036" spans="1:14" ht="13" x14ac:dyDescent="0.15">
      <c r="A1036" s="29"/>
      <c r="B1036" s="2"/>
      <c r="C1036" s="2"/>
      <c r="D1036" s="2"/>
      <c r="E1036" s="3"/>
      <c r="F1036" s="3"/>
      <c r="G1036" s="7"/>
      <c r="J1036" s="7"/>
      <c r="K1036" s="7"/>
      <c r="M1036" s="3"/>
      <c r="N1036" s="3"/>
    </row>
    <row r="1037" spans="1:14" ht="13" x14ac:dyDescent="0.15">
      <c r="A1037" s="29"/>
      <c r="B1037" s="2"/>
      <c r="C1037" s="2"/>
      <c r="D1037" s="2"/>
      <c r="E1037" s="3"/>
      <c r="F1037" s="3"/>
      <c r="G1037" s="7"/>
      <c r="J1037" s="7"/>
      <c r="K1037" s="7"/>
      <c r="M1037" s="3"/>
      <c r="N1037" s="3"/>
    </row>
    <row r="1038" spans="1:14" ht="13" x14ac:dyDescent="0.15">
      <c r="A1038" s="29"/>
      <c r="B1038" s="2"/>
      <c r="C1038" s="2"/>
      <c r="D1038" s="2"/>
      <c r="E1038" s="3"/>
      <c r="F1038" s="3"/>
      <c r="G1038" s="7"/>
      <c r="J1038" s="7"/>
      <c r="K1038" s="7"/>
      <c r="M1038" s="3"/>
      <c r="N1038" s="3"/>
    </row>
    <row r="1039" spans="1:14" ht="13" x14ac:dyDescent="0.15">
      <c r="A1039" s="29"/>
      <c r="B1039" s="2"/>
      <c r="C1039" s="2"/>
      <c r="D1039" s="2"/>
      <c r="E1039" s="3"/>
      <c r="F1039" s="3"/>
      <c r="G1039" s="7"/>
      <c r="J1039" s="7"/>
      <c r="K1039" s="7"/>
      <c r="M1039" s="3"/>
      <c r="N1039" s="3"/>
    </row>
    <row r="1040" spans="1:14" ht="13" x14ac:dyDescent="0.15">
      <c r="A1040" s="29"/>
      <c r="B1040" s="2"/>
      <c r="C1040" s="2"/>
      <c r="D1040" s="2"/>
      <c r="E1040" s="3"/>
      <c r="F1040" s="3"/>
      <c r="G1040" s="7"/>
      <c r="J1040" s="7"/>
      <c r="K1040" s="7"/>
      <c r="M1040" s="3"/>
      <c r="N1040" s="3"/>
    </row>
    <row r="1041" spans="1:14" ht="13" x14ac:dyDescent="0.15">
      <c r="A1041" s="29"/>
      <c r="B1041" s="2"/>
      <c r="C1041" s="2"/>
      <c r="D1041" s="2"/>
      <c r="E1041" s="3"/>
      <c r="F1041" s="3"/>
      <c r="G1041" s="7"/>
      <c r="J1041" s="7"/>
      <c r="K1041" s="7"/>
      <c r="M1041" s="3"/>
      <c r="N1041" s="3"/>
    </row>
    <row r="1042" spans="1:14" ht="13" x14ac:dyDescent="0.15">
      <c r="A1042" s="29"/>
      <c r="B1042" s="2"/>
      <c r="C1042" s="2"/>
      <c r="D1042" s="2"/>
      <c r="E1042" s="3"/>
      <c r="F1042" s="3"/>
      <c r="G1042" s="7"/>
      <c r="J1042" s="7"/>
      <c r="K1042" s="7"/>
      <c r="M1042" s="3"/>
      <c r="N1042" s="3"/>
    </row>
    <row r="1043" spans="1:14" ht="13" x14ac:dyDescent="0.15">
      <c r="A1043" s="29"/>
      <c r="B1043" s="2"/>
      <c r="C1043" s="2"/>
      <c r="D1043" s="2"/>
      <c r="E1043" s="3"/>
      <c r="F1043" s="3"/>
      <c r="G1043" s="7"/>
      <c r="J1043" s="7"/>
      <c r="K1043" s="7"/>
      <c r="M1043" s="3"/>
      <c r="N1043" s="3"/>
    </row>
    <row r="1044" spans="1:14" ht="13" x14ac:dyDescent="0.15">
      <c r="A1044" s="29"/>
      <c r="B1044" s="2"/>
      <c r="C1044" s="2"/>
      <c r="D1044" s="2"/>
      <c r="E1044" s="3"/>
      <c r="F1044" s="3"/>
      <c r="G1044" s="7"/>
      <c r="J1044" s="7"/>
      <c r="K1044" s="7"/>
      <c r="M1044" s="3"/>
      <c r="N1044" s="3"/>
    </row>
    <row r="1045" spans="1:14" ht="13" x14ac:dyDescent="0.15">
      <c r="A1045" s="29"/>
      <c r="B1045" s="2"/>
      <c r="C1045" s="2"/>
      <c r="D1045" s="2"/>
      <c r="E1045" s="3"/>
      <c r="F1045" s="3"/>
      <c r="G1045" s="7"/>
      <c r="J1045" s="7"/>
      <c r="K1045" s="7"/>
      <c r="M1045" s="3"/>
      <c r="N1045" s="3"/>
    </row>
    <row r="1046" spans="1:14" ht="13" x14ac:dyDescent="0.15">
      <c r="A1046" s="29"/>
      <c r="B1046" s="2"/>
      <c r="C1046" s="2"/>
      <c r="D1046" s="2"/>
      <c r="E1046" s="3"/>
      <c r="F1046" s="3"/>
      <c r="G1046" s="7"/>
      <c r="J1046" s="7"/>
      <c r="K1046" s="7"/>
      <c r="M1046" s="3"/>
      <c r="N1046" s="3"/>
    </row>
    <row r="1047" spans="1:14" ht="13" x14ac:dyDescent="0.15">
      <c r="A1047" s="29"/>
      <c r="B1047" s="2"/>
      <c r="C1047" s="2"/>
      <c r="D1047" s="2"/>
      <c r="E1047" s="3"/>
      <c r="F1047" s="3"/>
      <c r="G1047" s="7"/>
      <c r="J1047" s="7"/>
      <c r="K1047" s="7"/>
      <c r="M1047" s="3"/>
      <c r="N1047" s="3"/>
    </row>
    <row r="1048" spans="1:14" ht="13" x14ac:dyDescent="0.15">
      <c r="A1048" s="29"/>
      <c r="B1048" s="2"/>
      <c r="C1048" s="2"/>
      <c r="D1048" s="2"/>
      <c r="E1048" s="3"/>
      <c r="F1048" s="3"/>
      <c r="G1048" s="7"/>
      <c r="J1048" s="7"/>
      <c r="K1048" s="7"/>
      <c r="M1048" s="3"/>
      <c r="N1048" s="3"/>
    </row>
    <row r="1049" spans="1:14" ht="13" x14ac:dyDescent="0.15">
      <c r="A1049" s="29"/>
      <c r="B1049" s="2"/>
      <c r="C1049" s="2"/>
      <c r="D1049" s="2"/>
      <c r="E1049" s="3"/>
      <c r="F1049" s="3"/>
      <c r="G1049" s="7"/>
      <c r="J1049" s="7"/>
      <c r="K1049" s="7"/>
      <c r="M1049" s="3"/>
      <c r="N1049" s="3"/>
    </row>
    <row r="1050" spans="1:14" ht="13" x14ac:dyDescent="0.15">
      <c r="A1050" s="29"/>
      <c r="B1050" s="2"/>
      <c r="C1050" s="2"/>
      <c r="D1050" s="2"/>
      <c r="E1050" s="3"/>
      <c r="F1050" s="3"/>
      <c r="G1050" s="7"/>
      <c r="J1050" s="7"/>
      <c r="K1050" s="7"/>
      <c r="M1050" s="3"/>
      <c r="N1050" s="3"/>
    </row>
    <row r="1051" spans="1:14" ht="13" x14ac:dyDescent="0.15">
      <c r="A1051" s="29"/>
      <c r="B1051" s="2"/>
      <c r="C1051" s="2"/>
      <c r="D1051" s="2"/>
      <c r="E1051" s="3"/>
      <c r="F1051" s="3"/>
      <c r="G1051" s="7"/>
      <c r="J1051" s="7"/>
      <c r="K1051" s="7"/>
      <c r="M1051" s="3"/>
      <c r="N1051" s="3"/>
    </row>
    <row r="1052" spans="1:14" ht="13" x14ac:dyDescent="0.15">
      <c r="A1052" s="29"/>
      <c r="B1052" s="2"/>
      <c r="C1052" s="2"/>
      <c r="D1052" s="2"/>
      <c r="E1052" s="3"/>
      <c r="F1052" s="3"/>
      <c r="G1052" s="7"/>
      <c r="J1052" s="7"/>
      <c r="K1052" s="7"/>
      <c r="M1052" s="3"/>
      <c r="N1052" s="3"/>
    </row>
    <row r="1053" spans="1:14" ht="13" x14ac:dyDescent="0.15">
      <c r="A1053" s="29"/>
      <c r="B1053" s="2"/>
      <c r="C1053" s="2"/>
      <c r="D1053" s="2"/>
      <c r="E1053" s="3"/>
      <c r="F1053" s="3"/>
      <c r="G1053" s="7"/>
      <c r="J1053" s="7"/>
      <c r="K1053" s="7"/>
      <c r="M1053" s="3"/>
      <c r="N1053" s="3"/>
    </row>
    <row r="1054" spans="1:14" ht="13" x14ac:dyDescent="0.15">
      <c r="A1054" s="29"/>
      <c r="B1054" s="2"/>
      <c r="C1054" s="2"/>
      <c r="D1054" s="2"/>
      <c r="E1054" s="3"/>
      <c r="F1054" s="3"/>
      <c r="G1054" s="7"/>
      <c r="J1054" s="7"/>
      <c r="K1054" s="7"/>
      <c r="M1054" s="3"/>
      <c r="N1054" s="3"/>
    </row>
    <row r="1055" spans="1:14" ht="13" x14ac:dyDescent="0.15">
      <c r="A1055" s="29"/>
      <c r="B1055" s="2"/>
      <c r="C1055" s="2"/>
      <c r="D1055" s="2"/>
      <c r="E1055" s="3"/>
      <c r="F1055" s="3"/>
      <c r="G1055" s="7"/>
      <c r="J1055" s="7"/>
      <c r="K1055" s="7"/>
      <c r="M1055" s="3"/>
      <c r="N1055" s="3"/>
    </row>
    <row r="1056" spans="1:14" ht="13" x14ac:dyDescent="0.15">
      <c r="A1056" s="29"/>
      <c r="B1056" s="2"/>
      <c r="C1056" s="2"/>
      <c r="D1056" s="2"/>
      <c r="E1056" s="3"/>
      <c r="F1056" s="3"/>
      <c r="G1056" s="7"/>
      <c r="J1056" s="7"/>
      <c r="K1056" s="7"/>
      <c r="M1056" s="3"/>
      <c r="N1056" s="3"/>
    </row>
    <row r="1057" spans="1:14" ht="13" x14ac:dyDescent="0.15">
      <c r="A1057" s="29"/>
      <c r="B1057" s="2"/>
      <c r="C1057" s="2"/>
      <c r="D1057" s="2"/>
      <c r="E1057" s="3"/>
      <c r="F1057" s="3"/>
      <c r="G1057" s="7"/>
      <c r="J1057" s="7"/>
      <c r="K1057" s="7"/>
      <c r="M1057" s="3"/>
      <c r="N1057" s="3"/>
    </row>
    <row r="1058" spans="1:14" ht="13" x14ac:dyDescent="0.15">
      <c r="A1058" s="29"/>
      <c r="B1058" s="2"/>
      <c r="C1058" s="2"/>
      <c r="D1058" s="2"/>
      <c r="E1058" s="3"/>
      <c r="F1058" s="3"/>
      <c r="G1058" s="7"/>
      <c r="J1058" s="7"/>
      <c r="K1058" s="7"/>
      <c r="M1058" s="3"/>
      <c r="N1058" s="3"/>
    </row>
    <row r="1059" spans="1:14" ht="13" x14ac:dyDescent="0.15">
      <c r="A1059" s="29"/>
      <c r="B1059" s="2"/>
      <c r="C1059" s="2"/>
      <c r="D1059" s="2"/>
      <c r="E1059" s="3"/>
      <c r="F1059" s="3"/>
      <c r="G1059" s="7"/>
      <c r="J1059" s="7"/>
      <c r="K1059" s="7"/>
      <c r="M1059" s="3"/>
      <c r="N1059" s="3"/>
    </row>
    <row r="1060" spans="1:14" ht="13" x14ac:dyDescent="0.15">
      <c r="A1060" s="29"/>
      <c r="B1060" s="2"/>
      <c r="C1060" s="2"/>
      <c r="D1060" s="2"/>
      <c r="E1060" s="3"/>
      <c r="F1060" s="3"/>
      <c r="G1060" s="7"/>
      <c r="J1060" s="7"/>
      <c r="K1060" s="7"/>
      <c r="M1060" s="3"/>
      <c r="N1060" s="3"/>
    </row>
    <row r="1061" spans="1:14" ht="13" x14ac:dyDescent="0.15">
      <c r="A1061" s="29"/>
      <c r="B1061" s="2"/>
      <c r="C1061" s="2"/>
      <c r="D1061" s="2"/>
      <c r="E1061" s="3"/>
      <c r="F1061" s="3"/>
      <c r="G1061" s="7"/>
      <c r="J1061" s="7"/>
      <c r="K1061" s="7"/>
      <c r="M1061" s="3"/>
      <c r="N1061" s="3"/>
    </row>
    <row r="1062" spans="1:14" ht="13" x14ac:dyDescent="0.15">
      <c r="A1062" s="29"/>
      <c r="B1062" s="2"/>
      <c r="C1062" s="2"/>
      <c r="D1062" s="2"/>
      <c r="E1062" s="3"/>
      <c r="F1062" s="3"/>
      <c r="G1062" s="7"/>
      <c r="J1062" s="7"/>
      <c r="K1062" s="7"/>
      <c r="M1062" s="3"/>
      <c r="N1062" s="3"/>
    </row>
    <row r="1063" spans="1:14" ht="13" x14ac:dyDescent="0.15">
      <c r="A1063" s="29"/>
      <c r="B1063" s="2"/>
      <c r="C1063" s="2"/>
      <c r="D1063" s="2"/>
      <c r="E1063" s="3"/>
      <c r="F1063" s="3"/>
      <c r="G1063" s="7"/>
      <c r="J1063" s="7"/>
      <c r="K1063" s="7"/>
      <c r="M1063" s="3"/>
      <c r="N1063" s="3"/>
    </row>
    <row r="1064" spans="1:14" ht="13" x14ac:dyDescent="0.15">
      <c r="A1064" s="29"/>
      <c r="B1064" s="2"/>
      <c r="C1064" s="2"/>
      <c r="D1064" s="2"/>
      <c r="E1064" s="3"/>
      <c r="F1064" s="3"/>
      <c r="G1064" s="7"/>
      <c r="J1064" s="7"/>
      <c r="K1064" s="7"/>
      <c r="M1064" s="3"/>
      <c r="N1064" s="3"/>
    </row>
    <row r="1065" spans="1:14" ht="13" x14ac:dyDescent="0.15">
      <c r="A1065" s="29"/>
      <c r="B1065" s="2"/>
      <c r="C1065" s="2"/>
      <c r="D1065" s="2"/>
      <c r="E1065" s="3"/>
      <c r="F1065" s="3"/>
      <c r="G1065" s="7"/>
      <c r="J1065" s="7"/>
      <c r="K1065" s="7"/>
      <c r="M1065" s="3"/>
      <c r="N1065" s="3"/>
    </row>
    <row r="1066" spans="1:14" ht="13" x14ac:dyDescent="0.15">
      <c r="A1066" s="29"/>
      <c r="B1066" s="2"/>
      <c r="C1066" s="2"/>
      <c r="D1066" s="2"/>
      <c r="E1066" s="3"/>
      <c r="F1066" s="3"/>
      <c r="G1066" s="7"/>
      <c r="J1066" s="7"/>
      <c r="K1066" s="7"/>
      <c r="M1066" s="3"/>
      <c r="N1066" s="3"/>
    </row>
    <row r="1067" spans="1:14" ht="13" x14ac:dyDescent="0.15">
      <c r="A1067" s="29"/>
      <c r="B1067" s="2"/>
      <c r="C1067" s="2"/>
      <c r="D1067" s="2"/>
      <c r="E1067" s="3"/>
      <c r="F1067" s="3"/>
      <c r="G1067" s="7"/>
      <c r="J1067" s="7"/>
      <c r="K1067" s="7"/>
      <c r="M1067" s="3"/>
      <c r="N1067" s="3"/>
    </row>
    <row r="1068" spans="1:14" ht="13" x14ac:dyDescent="0.15">
      <c r="A1068" s="29"/>
      <c r="B1068" s="2"/>
      <c r="C1068" s="2"/>
      <c r="D1068" s="2"/>
      <c r="E1068" s="3"/>
      <c r="F1068" s="3"/>
      <c r="G1068" s="7"/>
      <c r="J1068" s="7"/>
      <c r="K1068" s="7"/>
      <c r="M1068" s="3"/>
      <c r="N1068" s="3"/>
    </row>
    <row r="1069" spans="1:14" ht="13" x14ac:dyDescent="0.15">
      <c r="A1069" s="29"/>
      <c r="B1069" s="2"/>
      <c r="C1069" s="2"/>
      <c r="D1069" s="2"/>
      <c r="E1069" s="3"/>
      <c r="F1069" s="3"/>
      <c r="G1069" s="7"/>
      <c r="J1069" s="7"/>
      <c r="K1069" s="7"/>
      <c r="M1069" s="3"/>
      <c r="N1069" s="3"/>
    </row>
    <row r="1070" spans="1:14" ht="13" x14ac:dyDescent="0.15">
      <c r="A1070" s="29"/>
      <c r="B1070" s="2"/>
      <c r="C1070" s="2"/>
      <c r="D1070" s="2"/>
      <c r="E1070" s="3"/>
      <c r="F1070" s="3"/>
      <c r="G1070" s="7"/>
      <c r="J1070" s="7"/>
      <c r="K1070" s="7"/>
      <c r="M1070" s="3"/>
      <c r="N1070" s="3"/>
    </row>
    <row r="1071" spans="1:14" ht="13" x14ac:dyDescent="0.15">
      <c r="A1071" s="29"/>
      <c r="B1071" s="2"/>
      <c r="C1071" s="2"/>
      <c r="D1071" s="2"/>
      <c r="E1071" s="3"/>
      <c r="F1071" s="3"/>
      <c r="G1071" s="7"/>
      <c r="J1071" s="7"/>
      <c r="K1071" s="7"/>
      <c r="M1071" s="3"/>
      <c r="N1071" s="3"/>
    </row>
    <row r="1072" spans="1:14" ht="13" x14ac:dyDescent="0.15">
      <c r="A1072" s="29"/>
      <c r="B1072" s="2"/>
      <c r="C1072" s="2"/>
      <c r="D1072" s="2"/>
      <c r="E1072" s="3"/>
      <c r="F1072" s="3"/>
      <c r="G1072" s="7"/>
      <c r="J1072" s="7"/>
      <c r="K1072" s="7"/>
      <c r="M1072" s="3"/>
      <c r="N1072" s="3"/>
    </row>
    <row r="1073" spans="1:14" ht="13" x14ac:dyDescent="0.15">
      <c r="A1073" s="29"/>
      <c r="B1073" s="2"/>
      <c r="C1073" s="2"/>
      <c r="D1073" s="2"/>
      <c r="E1073" s="3"/>
      <c r="F1073" s="3"/>
      <c r="G1073" s="7"/>
      <c r="J1073" s="7"/>
      <c r="K1073" s="7"/>
      <c r="M1073" s="3"/>
      <c r="N1073" s="3"/>
    </row>
    <row r="1074" spans="1:14" ht="13" x14ac:dyDescent="0.15">
      <c r="A1074" s="29"/>
      <c r="B1074" s="2"/>
      <c r="C1074" s="2"/>
      <c r="D1074" s="2"/>
      <c r="E1074" s="3"/>
      <c r="F1074" s="3"/>
      <c r="G1074" s="7"/>
      <c r="J1074" s="7"/>
      <c r="K1074" s="7"/>
      <c r="M1074" s="3"/>
      <c r="N1074" s="3"/>
    </row>
    <row r="1075" spans="1:14" ht="13" x14ac:dyDescent="0.15">
      <c r="A1075" s="29"/>
      <c r="B1075" s="2"/>
      <c r="C1075" s="2"/>
      <c r="D1075" s="2"/>
      <c r="E1075" s="3"/>
      <c r="F1075" s="3"/>
      <c r="G1075" s="7"/>
      <c r="J1075" s="7"/>
      <c r="K1075" s="7"/>
      <c r="M1075" s="3"/>
      <c r="N1075" s="3"/>
    </row>
    <row r="1076" spans="1:14" ht="13" x14ac:dyDescent="0.15">
      <c r="A1076" s="29"/>
      <c r="B1076" s="2"/>
      <c r="C1076" s="2"/>
      <c r="D1076" s="2"/>
      <c r="E1076" s="3"/>
      <c r="F1076" s="3"/>
      <c r="G1076" s="7"/>
      <c r="J1076" s="7"/>
      <c r="K1076" s="7"/>
      <c r="M1076" s="3"/>
      <c r="N1076" s="3"/>
    </row>
    <row r="1077" spans="1:14" ht="13" x14ac:dyDescent="0.15">
      <c r="A1077" s="29"/>
      <c r="B1077" s="2"/>
      <c r="C1077" s="2"/>
      <c r="D1077" s="2"/>
      <c r="E1077" s="3"/>
      <c r="F1077" s="3"/>
      <c r="G1077" s="7"/>
      <c r="J1077" s="7"/>
      <c r="K1077" s="7"/>
      <c r="M1077" s="3"/>
      <c r="N1077" s="3"/>
    </row>
    <row r="1078" spans="1:14" ht="13" x14ac:dyDescent="0.15">
      <c r="A1078" s="29"/>
      <c r="B1078" s="2"/>
      <c r="C1078" s="2"/>
      <c r="D1078" s="2"/>
      <c r="E1078" s="3"/>
      <c r="F1078" s="3"/>
      <c r="G1078" s="7"/>
      <c r="J1078" s="7"/>
      <c r="K1078" s="7"/>
      <c r="M1078" s="3"/>
      <c r="N1078" s="3"/>
    </row>
    <row r="1079" spans="1:14" ht="13" x14ac:dyDescent="0.15">
      <c r="A1079" s="29"/>
      <c r="B1079" s="2"/>
      <c r="C1079" s="2"/>
      <c r="D1079" s="2"/>
      <c r="E1079" s="3"/>
      <c r="F1079" s="3"/>
      <c r="G1079" s="7"/>
      <c r="J1079" s="7"/>
      <c r="K1079" s="7"/>
      <c r="M1079" s="3"/>
      <c r="N1079" s="3"/>
    </row>
    <row r="1080" spans="1:14" ht="13" x14ac:dyDescent="0.15">
      <c r="A1080" s="29"/>
      <c r="B1080" s="2"/>
      <c r="C1080" s="2"/>
      <c r="D1080" s="2"/>
      <c r="E1080" s="3"/>
      <c r="F1080" s="3"/>
      <c r="G1080" s="7"/>
      <c r="J1080" s="7"/>
      <c r="K1080" s="7"/>
      <c r="M1080" s="3"/>
      <c r="N1080" s="3"/>
    </row>
    <row r="1081" spans="1:14" ht="13" x14ac:dyDescent="0.15">
      <c r="A1081" s="29"/>
      <c r="B1081" s="2"/>
      <c r="C1081" s="2"/>
      <c r="D1081" s="2"/>
      <c r="E1081" s="3"/>
      <c r="F1081" s="3"/>
      <c r="G1081" s="7"/>
      <c r="J1081" s="7"/>
      <c r="K1081" s="7"/>
      <c r="M1081" s="3"/>
      <c r="N1081" s="3"/>
    </row>
    <row r="1082" spans="1:14" ht="13" x14ac:dyDescent="0.15">
      <c r="A1082" s="29"/>
      <c r="B1082" s="2"/>
      <c r="C1082" s="2"/>
      <c r="D1082" s="2"/>
      <c r="E1082" s="3"/>
      <c r="F1082" s="3"/>
      <c r="G1082" s="7"/>
      <c r="J1082" s="7"/>
      <c r="K1082" s="7"/>
      <c r="M1082" s="3"/>
      <c r="N1082" s="3"/>
    </row>
    <row r="1083" spans="1:14" ht="13" x14ac:dyDescent="0.15">
      <c r="A1083" s="29"/>
      <c r="B1083" s="2"/>
      <c r="C1083" s="2"/>
      <c r="D1083" s="2"/>
      <c r="E1083" s="3"/>
      <c r="F1083" s="3"/>
      <c r="G1083" s="7"/>
      <c r="J1083" s="7"/>
      <c r="K1083" s="7"/>
      <c r="M1083" s="3"/>
      <c r="N1083" s="3"/>
    </row>
    <row r="1084" spans="1:14" ht="13" x14ac:dyDescent="0.15">
      <c r="A1084" s="29"/>
      <c r="B1084" s="2"/>
      <c r="C1084" s="2"/>
      <c r="D1084" s="2"/>
      <c r="E1084" s="3"/>
      <c r="F1084" s="3"/>
      <c r="G1084" s="7"/>
      <c r="J1084" s="7"/>
      <c r="K1084" s="7"/>
      <c r="M1084" s="3"/>
      <c r="N1084" s="3"/>
    </row>
    <row r="1085" spans="1:14" ht="13" x14ac:dyDescent="0.15">
      <c r="A1085" s="29"/>
      <c r="B1085" s="2"/>
      <c r="C1085" s="2"/>
      <c r="D1085" s="2"/>
      <c r="E1085" s="3"/>
      <c r="F1085" s="3"/>
      <c r="G1085" s="7"/>
      <c r="J1085" s="7"/>
      <c r="K1085" s="7"/>
      <c r="M1085" s="3"/>
      <c r="N1085" s="3"/>
    </row>
    <row r="1086" spans="1:14" ht="13" x14ac:dyDescent="0.15">
      <c r="A1086" s="29"/>
      <c r="B1086" s="2"/>
      <c r="C1086" s="2"/>
      <c r="D1086" s="2"/>
      <c r="E1086" s="3"/>
      <c r="F1086" s="3"/>
      <c r="G1086" s="7"/>
      <c r="J1086" s="7"/>
      <c r="K1086" s="7"/>
      <c r="M1086" s="3"/>
      <c r="N1086" s="3"/>
    </row>
    <row r="1087" spans="1:14" ht="13" x14ac:dyDescent="0.15">
      <c r="A1087" s="29"/>
      <c r="B1087" s="2"/>
      <c r="C1087" s="2"/>
      <c r="D1087" s="2"/>
      <c r="E1087" s="3"/>
      <c r="F1087" s="3"/>
      <c r="G1087" s="7"/>
      <c r="J1087" s="7"/>
      <c r="K1087" s="7"/>
      <c r="M1087" s="3"/>
      <c r="N1087" s="3"/>
    </row>
    <row r="1088" spans="1:14" ht="13" x14ac:dyDescent="0.15">
      <c r="A1088" s="29"/>
      <c r="B1088" s="2"/>
      <c r="C1088" s="2"/>
      <c r="D1088" s="2"/>
      <c r="E1088" s="3"/>
      <c r="F1088" s="3"/>
      <c r="G1088" s="7"/>
      <c r="J1088" s="7"/>
      <c r="K1088" s="7"/>
      <c r="M1088" s="3"/>
      <c r="N1088" s="3"/>
    </row>
    <row r="1089" spans="1:14" ht="13" x14ac:dyDescent="0.15">
      <c r="A1089" s="29"/>
      <c r="B1089" s="2"/>
      <c r="C1089" s="2"/>
      <c r="D1089" s="2"/>
      <c r="E1089" s="3"/>
      <c r="F1089" s="3"/>
      <c r="G1089" s="7"/>
      <c r="J1089" s="7"/>
      <c r="K1089" s="7"/>
      <c r="M1089" s="3"/>
      <c r="N1089" s="3"/>
    </row>
    <row r="1090" spans="1:14" ht="13" x14ac:dyDescent="0.15">
      <c r="A1090" s="29"/>
      <c r="B1090" s="2"/>
      <c r="C1090" s="2"/>
      <c r="D1090" s="2"/>
      <c r="E1090" s="3"/>
      <c r="F1090" s="3"/>
      <c r="G1090" s="7"/>
      <c r="J1090" s="7"/>
      <c r="K1090" s="7"/>
      <c r="M1090" s="3"/>
      <c r="N1090" s="3"/>
    </row>
    <row r="1091" spans="1:14" ht="13" x14ac:dyDescent="0.15">
      <c r="A1091" s="29"/>
      <c r="B1091" s="2"/>
      <c r="C1091" s="2"/>
      <c r="D1091" s="2"/>
      <c r="E1091" s="3"/>
      <c r="F1091" s="3"/>
      <c r="G1091" s="7"/>
      <c r="J1091" s="7"/>
      <c r="K1091" s="7"/>
      <c r="M1091" s="3"/>
      <c r="N1091" s="3"/>
    </row>
    <row r="1092" spans="1:14" ht="13" x14ac:dyDescent="0.15">
      <c r="A1092" s="29"/>
      <c r="B1092" s="2"/>
      <c r="C1092" s="2"/>
      <c r="D1092" s="2"/>
      <c r="E1092" s="3"/>
      <c r="F1092" s="3"/>
      <c r="G1092" s="7"/>
      <c r="J1092" s="7"/>
      <c r="K1092" s="7"/>
      <c r="M1092" s="3"/>
      <c r="N1092" s="3"/>
    </row>
    <row r="1093" spans="1:14" ht="13" x14ac:dyDescent="0.15">
      <c r="A1093" s="29"/>
      <c r="B1093" s="2"/>
      <c r="C1093" s="2"/>
      <c r="D1093" s="2"/>
      <c r="E1093" s="3"/>
      <c r="F1093" s="3"/>
      <c r="G1093" s="7"/>
      <c r="J1093" s="7"/>
      <c r="K1093" s="7"/>
      <c r="M1093" s="3"/>
      <c r="N1093" s="3"/>
    </row>
    <row r="1094" spans="1:14" ht="13" x14ac:dyDescent="0.15">
      <c r="A1094" s="29"/>
      <c r="B1094" s="2"/>
      <c r="C1094" s="2"/>
      <c r="D1094" s="2"/>
      <c r="E1094" s="3"/>
      <c r="F1094" s="3"/>
      <c r="G1094" s="7"/>
      <c r="J1094" s="7"/>
      <c r="K1094" s="7"/>
      <c r="M1094" s="3"/>
      <c r="N1094" s="3"/>
    </row>
    <row r="1095" spans="1:14" ht="13" x14ac:dyDescent="0.15">
      <c r="A1095" s="29"/>
      <c r="B1095" s="2"/>
      <c r="C1095" s="2"/>
      <c r="D1095" s="2"/>
      <c r="E1095" s="3"/>
      <c r="F1095" s="3"/>
      <c r="G1095" s="7"/>
      <c r="J1095" s="7"/>
      <c r="K1095" s="7"/>
      <c r="M1095" s="3"/>
      <c r="N1095" s="3"/>
    </row>
    <row r="1096" spans="1:14" ht="13" x14ac:dyDescent="0.15">
      <c r="A1096" s="29"/>
      <c r="B1096" s="2"/>
      <c r="C1096" s="2"/>
      <c r="D1096" s="2"/>
      <c r="E1096" s="3"/>
      <c r="F1096" s="3"/>
      <c r="G1096" s="7"/>
      <c r="J1096" s="7"/>
      <c r="K1096" s="7"/>
      <c r="M1096" s="3"/>
      <c r="N1096" s="3"/>
    </row>
    <row r="1097" spans="1:14" ht="13" x14ac:dyDescent="0.15">
      <c r="A1097" s="29"/>
      <c r="B1097" s="2"/>
      <c r="C1097" s="2"/>
      <c r="D1097" s="2"/>
      <c r="E1097" s="3"/>
      <c r="F1097" s="3"/>
      <c r="G1097" s="7"/>
      <c r="J1097" s="7"/>
      <c r="K1097" s="7"/>
      <c r="M1097" s="3"/>
      <c r="N1097" s="3"/>
    </row>
    <row r="1098" spans="1:14" ht="13" x14ac:dyDescent="0.15">
      <c r="A1098" s="29"/>
      <c r="B1098" s="2"/>
      <c r="C1098" s="2"/>
      <c r="D1098" s="2"/>
      <c r="E1098" s="3"/>
      <c r="F1098" s="3"/>
      <c r="G1098" s="7"/>
      <c r="J1098" s="7"/>
      <c r="K1098" s="7"/>
      <c r="M1098" s="3"/>
      <c r="N1098" s="3"/>
    </row>
    <row r="1099" spans="1:14" ht="13" x14ac:dyDescent="0.15">
      <c r="A1099" s="29"/>
      <c r="B1099" s="2"/>
      <c r="C1099" s="2"/>
      <c r="D1099" s="2"/>
      <c r="E1099" s="3"/>
      <c r="F1099" s="3"/>
      <c r="G1099" s="7"/>
      <c r="J1099" s="7"/>
      <c r="K1099" s="7"/>
      <c r="M1099" s="3"/>
      <c r="N1099" s="3"/>
    </row>
    <row r="1100" spans="1:14" ht="13" x14ac:dyDescent="0.15">
      <c r="A1100" s="29"/>
      <c r="B1100" s="2"/>
      <c r="C1100" s="2"/>
      <c r="D1100" s="2"/>
      <c r="E1100" s="3"/>
      <c r="F1100" s="3"/>
      <c r="G1100" s="7"/>
      <c r="J1100" s="7"/>
      <c r="K1100" s="7"/>
      <c r="M1100" s="3"/>
      <c r="N1100" s="3"/>
    </row>
    <row r="1101" spans="1:14" ht="13" x14ac:dyDescent="0.15">
      <c r="A1101" s="29"/>
      <c r="B1101" s="2"/>
      <c r="C1101" s="2"/>
      <c r="D1101" s="2"/>
      <c r="E1101" s="3"/>
      <c r="F1101" s="3"/>
      <c r="G1101" s="7"/>
      <c r="J1101" s="7"/>
      <c r="K1101" s="7"/>
      <c r="M1101" s="3"/>
      <c r="N1101" s="3"/>
    </row>
    <row r="1102" spans="1:14" ht="13" x14ac:dyDescent="0.15">
      <c r="A1102" s="29"/>
      <c r="B1102" s="2"/>
      <c r="C1102" s="2"/>
      <c r="D1102" s="2"/>
      <c r="E1102" s="3"/>
      <c r="F1102" s="3"/>
      <c r="G1102" s="7"/>
      <c r="J1102" s="7"/>
      <c r="K1102" s="7"/>
      <c r="M1102" s="3"/>
      <c r="N1102" s="3"/>
    </row>
    <row r="1103" spans="1:14" ht="13" x14ac:dyDescent="0.15">
      <c r="A1103" s="29"/>
      <c r="B1103" s="2"/>
      <c r="C1103" s="2"/>
      <c r="D1103" s="2"/>
      <c r="E1103" s="3"/>
      <c r="F1103" s="3"/>
      <c r="G1103" s="7"/>
      <c r="J1103" s="7"/>
      <c r="K1103" s="7"/>
      <c r="M1103" s="3"/>
      <c r="N1103" s="3"/>
    </row>
    <row r="1104" spans="1:14" ht="13" x14ac:dyDescent="0.15">
      <c r="A1104" s="29"/>
      <c r="B1104" s="2"/>
      <c r="C1104" s="2"/>
      <c r="D1104" s="2"/>
      <c r="E1104" s="3"/>
      <c r="F1104" s="3"/>
      <c r="G1104" s="7"/>
      <c r="J1104" s="7"/>
      <c r="K1104" s="7"/>
      <c r="M1104" s="3"/>
      <c r="N1104" s="3"/>
    </row>
    <row r="1105" spans="1:14" ht="13" x14ac:dyDescent="0.15">
      <c r="A1105" s="29"/>
      <c r="B1105" s="2"/>
      <c r="C1105" s="2"/>
      <c r="D1105" s="2"/>
      <c r="E1105" s="3"/>
      <c r="F1105" s="3"/>
      <c r="G1105" s="7"/>
      <c r="J1105" s="7"/>
      <c r="K1105" s="7"/>
      <c r="M1105" s="3"/>
      <c r="N1105" s="3"/>
    </row>
    <row r="1106" spans="1:14" ht="13" x14ac:dyDescent="0.15">
      <c r="A1106" s="29"/>
      <c r="B1106" s="2"/>
      <c r="C1106" s="2"/>
      <c r="D1106" s="2"/>
      <c r="E1106" s="3"/>
      <c r="F1106" s="3"/>
      <c r="G1106" s="7"/>
      <c r="J1106" s="7"/>
      <c r="K1106" s="7"/>
      <c r="M1106" s="3"/>
      <c r="N1106" s="3"/>
    </row>
    <row r="1107" spans="1:14" ht="13" x14ac:dyDescent="0.15">
      <c r="A1107" s="29"/>
      <c r="B1107" s="2"/>
      <c r="C1107" s="2"/>
      <c r="D1107" s="2"/>
      <c r="E1107" s="3"/>
      <c r="F1107" s="3"/>
      <c r="G1107" s="7"/>
      <c r="J1107" s="7"/>
      <c r="K1107" s="7"/>
      <c r="M1107" s="3"/>
      <c r="N1107" s="3"/>
    </row>
    <row r="1108" spans="1:14" ht="13" x14ac:dyDescent="0.15">
      <c r="A1108" s="29"/>
      <c r="B1108" s="2"/>
      <c r="C1108" s="2"/>
      <c r="D1108" s="2"/>
      <c r="E1108" s="3"/>
      <c r="F1108" s="3"/>
      <c r="G1108" s="7"/>
      <c r="J1108" s="7"/>
      <c r="K1108" s="7"/>
      <c r="M1108" s="3"/>
      <c r="N1108" s="3"/>
    </row>
    <row r="1109" spans="1:14" ht="13" x14ac:dyDescent="0.15">
      <c r="A1109" s="29"/>
      <c r="B1109" s="2"/>
      <c r="C1109" s="2"/>
      <c r="D1109" s="2"/>
      <c r="E1109" s="3"/>
      <c r="F1109" s="3"/>
      <c r="G1109" s="7"/>
      <c r="J1109" s="7"/>
      <c r="K1109" s="7"/>
      <c r="M1109" s="3"/>
      <c r="N1109" s="3"/>
    </row>
    <row r="1110" spans="1:14" ht="13" x14ac:dyDescent="0.15">
      <c r="A1110" s="29"/>
      <c r="B1110" s="2"/>
      <c r="C1110" s="2"/>
      <c r="D1110" s="2"/>
      <c r="E1110" s="3"/>
      <c r="F1110" s="3"/>
      <c r="G1110" s="7"/>
      <c r="J1110" s="7"/>
      <c r="K1110" s="7"/>
      <c r="M1110" s="3"/>
      <c r="N1110" s="3"/>
    </row>
    <row r="1111" spans="1:14" ht="13" x14ac:dyDescent="0.15">
      <c r="A1111" s="29"/>
      <c r="B1111" s="2"/>
      <c r="C1111" s="2"/>
      <c r="D1111" s="2"/>
      <c r="E1111" s="3"/>
      <c r="F1111" s="3"/>
      <c r="G1111" s="7"/>
      <c r="J1111" s="7"/>
      <c r="K1111" s="7"/>
      <c r="M1111" s="3"/>
      <c r="N1111" s="3"/>
    </row>
    <row r="1112" spans="1:14" ht="13" x14ac:dyDescent="0.15">
      <c r="A1112" s="29"/>
      <c r="B1112" s="2"/>
      <c r="C1112" s="2"/>
      <c r="D1112" s="2"/>
      <c r="E1112" s="3"/>
      <c r="F1112" s="3"/>
      <c r="G1112" s="7"/>
      <c r="J1112" s="7"/>
      <c r="K1112" s="7"/>
      <c r="M1112" s="3"/>
      <c r="N1112" s="3"/>
    </row>
    <row r="1113" spans="1:14" ht="13" x14ac:dyDescent="0.15">
      <c r="A1113" s="29"/>
      <c r="B1113" s="2"/>
      <c r="C1113" s="2"/>
      <c r="D1113" s="2"/>
      <c r="E1113" s="3"/>
      <c r="F1113" s="3"/>
      <c r="G1113" s="7"/>
      <c r="J1113" s="7"/>
      <c r="K1113" s="7"/>
      <c r="M1113" s="3"/>
      <c r="N1113" s="3"/>
    </row>
    <row r="1114" spans="1:14" ht="13" x14ac:dyDescent="0.15">
      <c r="A1114" s="29"/>
      <c r="B1114" s="2"/>
      <c r="C1114" s="2"/>
      <c r="D1114" s="2"/>
      <c r="E1114" s="3"/>
      <c r="F1114" s="3"/>
      <c r="G1114" s="7"/>
      <c r="J1114" s="7"/>
      <c r="K1114" s="7"/>
      <c r="M1114" s="3"/>
      <c r="N1114" s="3"/>
    </row>
    <row r="1115" spans="1:14" ht="13" x14ac:dyDescent="0.15">
      <c r="A1115" s="29"/>
      <c r="B1115" s="2"/>
      <c r="C1115" s="2"/>
      <c r="D1115" s="2"/>
      <c r="E1115" s="3"/>
      <c r="F1115" s="3"/>
      <c r="G1115" s="7"/>
      <c r="J1115" s="7"/>
      <c r="K1115" s="7"/>
      <c r="M1115" s="3"/>
      <c r="N1115" s="3"/>
    </row>
    <row r="1116" spans="1:14" ht="13" x14ac:dyDescent="0.15">
      <c r="A1116" s="29"/>
      <c r="B1116" s="2"/>
      <c r="C1116" s="2"/>
      <c r="D1116" s="2"/>
      <c r="E1116" s="3"/>
      <c r="F1116" s="3"/>
      <c r="G1116" s="7"/>
      <c r="J1116" s="7"/>
      <c r="K1116" s="7"/>
      <c r="M1116" s="3"/>
      <c r="N1116" s="3"/>
    </row>
    <row r="1117" spans="1:14" ht="13" x14ac:dyDescent="0.15">
      <c r="A1117" s="29"/>
      <c r="B1117" s="2"/>
      <c r="C1117" s="2"/>
      <c r="D1117" s="2"/>
      <c r="E1117" s="3"/>
      <c r="F1117" s="3"/>
      <c r="G1117" s="7"/>
      <c r="J1117" s="7"/>
      <c r="K1117" s="7"/>
      <c r="M1117" s="3"/>
      <c r="N1117" s="3"/>
    </row>
    <row r="1118" spans="1:14" ht="13" x14ac:dyDescent="0.15">
      <c r="A1118" s="29"/>
      <c r="B1118" s="2"/>
      <c r="C1118" s="2"/>
      <c r="D1118" s="2"/>
      <c r="E1118" s="3"/>
      <c r="F1118" s="3"/>
      <c r="G1118" s="7"/>
      <c r="J1118" s="7"/>
      <c r="K1118" s="7"/>
      <c r="M1118" s="3"/>
      <c r="N1118" s="3"/>
    </row>
    <row r="1119" spans="1:14" ht="13" x14ac:dyDescent="0.15">
      <c r="A1119" s="29"/>
      <c r="B1119" s="2"/>
      <c r="C1119" s="2"/>
      <c r="D1119" s="2"/>
      <c r="E1119" s="3"/>
      <c r="F1119" s="3"/>
      <c r="G1119" s="7"/>
      <c r="J1119" s="7"/>
      <c r="K1119" s="7"/>
      <c r="M1119" s="3"/>
      <c r="N1119" s="3"/>
    </row>
    <row r="1120" spans="1:14" ht="13" x14ac:dyDescent="0.15">
      <c r="A1120" s="29"/>
      <c r="B1120" s="2"/>
      <c r="C1120" s="2"/>
      <c r="D1120" s="2"/>
      <c r="E1120" s="3"/>
      <c r="F1120" s="3"/>
      <c r="G1120" s="7"/>
      <c r="J1120" s="7"/>
      <c r="K1120" s="7"/>
      <c r="M1120" s="3"/>
      <c r="N1120" s="3"/>
    </row>
    <row r="1121" spans="1:14" ht="13" x14ac:dyDescent="0.15">
      <c r="A1121" s="29"/>
      <c r="B1121" s="2"/>
      <c r="C1121" s="2"/>
      <c r="D1121" s="2"/>
      <c r="E1121" s="3"/>
      <c r="F1121" s="3"/>
      <c r="G1121" s="7"/>
      <c r="J1121" s="7"/>
      <c r="K1121" s="7"/>
      <c r="M1121" s="3"/>
      <c r="N1121" s="3"/>
    </row>
    <row r="1122" spans="1:14" ht="13" x14ac:dyDescent="0.15">
      <c r="A1122" s="29"/>
      <c r="B1122" s="2"/>
      <c r="C1122" s="2"/>
      <c r="D1122" s="2"/>
      <c r="E1122" s="3"/>
      <c r="F1122" s="3"/>
      <c r="G1122" s="7"/>
      <c r="J1122" s="7"/>
      <c r="K1122" s="7"/>
      <c r="M1122" s="3"/>
      <c r="N1122" s="3"/>
    </row>
    <row r="1123" spans="1:14" ht="13" x14ac:dyDescent="0.15">
      <c r="A1123" s="29"/>
      <c r="B1123" s="2"/>
      <c r="C1123" s="2"/>
      <c r="D1123" s="2"/>
      <c r="E1123" s="3"/>
      <c r="F1123" s="3"/>
      <c r="G1123" s="7"/>
      <c r="J1123" s="7"/>
      <c r="K1123" s="7"/>
      <c r="M1123" s="3"/>
      <c r="N1123" s="3"/>
    </row>
    <row r="1124" spans="1:14" ht="13" x14ac:dyDescent="0.15">
      <c r="A1124" s="29"/>
      <c r="B1124" s="2"/>
      <c r="C1124" s="2"/>
      <c r="D1124" s="2"/>
      <c r="E1124" s="3"/>
      <c r="F1124" s="3"/>
      <c r="G1124" s="7"/>
      <c r="J1124" s="7"/>
      <c r="K1124" s="7"/>
      <c r="M1124" s="3"/>
      <c r="N1124" s="3"/>
    </row>
    <row r="1125" spans="1:14" ht="13" x14ac:dyDescent="0.15">
      <c r="A1125" s="29"/>
      <c r="B1125" s="2"/>
      <c r="C1125" s="2"/>
      <c r="D1125" s="2"/>
      <c r="E1125" s="3"/>
      <c r="F1125" s="3"/>
      <c r="G1125" s="7"/>
      <c r="J1125" s="7"/>
      <c r="K1125" s="7"/>
      <c r="M1125" s="3"/>
      <c r="N1125" s="3"/>
    </row>
    <row r="1126" spans="1:14" ht="13" x14ac:dyDescent="0.15">
      <c r="A1126" s="29"/>
      <c r="B1126" s="2"/>
      <c r="C1126" s="2"/>
      <c r="D1126" s="2"/>
      <c r="E1126" s="3"/>
      <c r="F1126" s="3"/>
      <c r="G1126" s="7"/>
      <c r="J1126" s="7"/>
      <c r="K1126" s="7"/>
      <c r="M1126" s="3"/>
      <c r="N1126" s="3"/>
    </row>
    <row r="1127" spans="1:14" ht="13" x14ac:dyDescent="0.15">
      <c r="A1127" s="29"/>
      <c r="B1127" s="2"/>
      <c r="C1127" s="2"/>
      <c r="D1127" s="2"/>
      <c r="E1127" s="3"/>
      <c r="F1127" s="3"/>
      <c r="G1127" s="7"/>
      <c r="J1127" s="7"/>
      <c r="K1127" s="7"/>
      <c r="M1127" s="3"/>
      <c r="N1127" s="3"/>
    </row>
    <row r="1128" spans="1:14" ht="13" x14ac:dyDescent="0.15">
      <c r="A1128" s="29"/>
      <c r="B1128" s="2"/>
      <c r="C1128" s="2"/>
      <c r="D1128" s="2"/>
      <c r="E1128" s="3"/>
      <c r="F1128" s="3"/>
      <c r="G1128" s="7"/>
      <c r="J1128" s="7"/>
      <c r="K1128" s="7"/>
      <c r="M1128" s="3"/>
      <c r="N1128" s="3"/>
    </row>
    <row r="1129" spans="1:14" ht="13" x14ac:dyDescent="0.15">
      <c r="A1129" s="29"/>
      <c r="B1129" s="2"/>
      <c r="C1129" s="2"/>
      <c r="D1129" s="2"/>
      <c r="E1129" s="3"/>
      <c r="F1129" s="3"/>
      <c r="G1129" s="7"/>
      <c r="J1129" s="7"/>
      <c r="K1129" s="7"/>
      <c r="M1129" s="3"/>
      <c r="N1129" s="3"/>
    </row>
    <row r="1130" spans="1:14" ht="13" x14ac:dyDescent="0.15">
      <c r="A1130" s="29"/>
      <c r="B1130" s="2"/>
      <c r="C1130" s="2"/>
      <c r="D1130" s="2"/>
      <c r="E1130" s="3"/>
      <c r="F1130" s="3"/>
      <c r="G1130" s="7"/>
      <c r="J1130" s="7"/>
      <c r="K1130" s="7"/>
      <c r="M1130" s="3"/>
      <c r="N1130" s="3"/>
    </row>
    <row r="1131" spans="1:14" ht="13" x14ac:dyDescent="0.15">
      <c r="A1131" s="29"/>
      <c r="B1131" s="2"/>
      <c r="C1131" s="2"/>
      <c r="D1131" s="2"/>
      <c r="E1131" s="3"/>
      <c r="F1131" s="3"/>
      <c r="G1131" s="7"/>
      <c r="J1131" s="7"/>
      <c r="K1131" s="7"/>
      <c r="M1131" s="3"/>
      <c r="N1131" s="3"/>
    </row>
    <row r="1132" spans="1:14" ht="13" x14ac:dyDescent="0.15">
      <c r="A1132" s="29"/>
      <c r="B1132" s="2"/>
      <c r="C1132" s="2"/>
      <c r="D1132" s="2"/>
      <c r="E1132" s="3"/>
      <c r="F1132" s="3"/>
      <c r="G1132" s="7"/>
      <c r="J1132" s="7"/>
      <c r="K1132" s="7"/>
      <c r="M1132" s="3"/>
      <c r="N1132" s="3"/>
    </row>
    <row r="1133" spans="1:14" ht="13" x14ac:dyDescent="0.15">
      <c r="A1133" s="29"/>
      <c r="B1133" s="2"/>
      <c r="C1133" s="2"/>
      <c r="D1133" s="2"/>
      <c r="E1133" s="3"/>
      <c r="F1133" s="3"/>
      <c r="G1133" s="7"/>
      <c r="J1133" s="7"/>
      <c r="K1133" s="7"/>
      <c r="M1133" s="3"/>
      <c r="N1133" s="3"/>
    </row>
    <row r="1134" spans="1:14" ht="13" x14ac:dyDescent="0.15">
      <c r="A1134" s="29"/>
      <c r="B1134" s="2"/>
      <c r="C1134" s="2"/>
      <c r="D1134" s="2"/>
      <c r="E1134" s="3"/>
      <c r="F1134" s="3"/>
      <c r="G1134" s="7"/>
      <c r="J1134" s="7"/>
      <c r="K1134" s="7"/>
      <c r="M1134" s="3"/>
      <c r="N1134" s="3"/>
    </row>
    <row r="1135" spans="1:14" ht="13" x14ac:dyDescent="0.15">
      <c r="A1135" s="29"/>
      <c r="B1135" s="2"/>
      <c r="C1135" s="2"/>
      <c r="D1135" s="2"/>
      <c r="E1135" s="3"/>
      <c r="F1135" s="3"/>
      <c r="G1135" s="7"/>
      <c r="J1135" s="7"/>
      <c r="K1135" s="7"/>
      <c r="M1135" s="3"/>
      <c r="N1135" s="3"/>
    </row>
    <row r="1136" spans="1:14" ht="13" x14ac:dyDescent="0.15">
      <c r="A1136" s="29"/>
      <c r="B1136" s="2"/>
      <c r="C1136" s="2"/>
      <c r="D1136" s="2"/>
      <c r="E1136" s="3"/>
      <c r="F1136" s="3"/>
      <c r="G1136" s="7"/>
      <c r="J1136" s="7"/>
      <c r="K1136" s="7"/>
      <c r="M1136" s="3"/>
      <c r="N1136" s="3"/>
    </row>
    <row r="1137" spans="1:14" ht="13" x14ac:dyDescent="0.15">
      <c r="A1137" s="29"/>
      <c r="B1137" s="2"/>
      <c r="C1137" s="2"/>
      <c r="D1137" s="2"/>
      <c r="E1137" s="3"/>
      <c r="F1137" s="3"/>
      <c r="G1137" s="7"/>
      <c r="J1137" s="7"/>
      <c r="K1137" s="7"/>
      <c r="M1137" s="3"/>
      <c r="N1137" s="3"/>
    </row>
    <row r="1138" spans="1:14" ht="13" x14ac:dyDescent="0.15">
      <c r="A1138" s="29"/>
      <c r="B1138" s="2"/>
      <c r="C1138" s="2"/>
      <c r="D1138" s="2"/>
      <c r="E1138" s="3"/>
      <c r="F1138" s="3"/>
      <c r="G1138" s="7"/>
      <c r="J1138" s="7"/>
      <c r="K1138" s="7"/>
      <c r="M1138" s="3"/>
      <c r="N1138" s="3"/>
    </row>
    <row r="1139" spans="1:14" ht="13" x14ac:dyDescent="0.15">
      <c r="A1139" s="29"/>
      <c r="B1139" s="2"/>
      <c r="C1139" s="2"/>
      <c r="D1139" s="2"/>
      <c r="E1139" s="3"/>
      <c r="F1139" s="3"/>
      <c r="G1139" s="7"/>
      <c r="J1139" s="7"/>
      <c r="K1139" s="7"/>
      <c r="M1139" s="3"/>
      <c r="N1139" s="3"/>
    </row>
    <row r="1140" spans="1:14" ht="13" x14ac:dyDescent="0.15">
      <c r="A1140" s="29"/>
      <c r="B1140" s="2"/>
      <c r="C1140" s="2"/>
      <c r="D1140" s="2"/>
      <c r="E1140" s="3"/>
      <c r="F1140" s="3"/>
      <c r="G1140" s="7"/>
      <c r="J1140" s="7"/>
      <c r="K1140" s="7"/>
      <c r="M1140" s="3"/>
      <c r="N1140" s="3"/>
    </row>
    <row r="1141" spans="1:14" ht="13" x14ac:dyDescent="0.15">
      <c r="A1141" s="29"/>
      <c r="B1141" s="2"/>
      <c r="C1141" s="2"/>
      <c r="D1141" s="2"/>
      <c r="E1141" s="3"/>
      <c r="F1141" s="3"/>
      <c r="G1141" s="7"/>
      <c r="J1141" s="7"/>
      <c r="K1141" s="7"/>
      <c r="M1141" s="3"/>
      <c r="N1141" s="3"/>
    </row>
    <row r="1142" spans="1:14" ht="13" x14ac:dyDescent="0.15">
      <c r="A1142" s="29"/>
      <c r="B1142" s="2"/>
      <c r="C1142" s="2"/>
      <c r="D1142" s="2"/>
      <c r="E1142" s="3"/>
      <c r="F1142" s="3"/>
      <c r="G1142" s="7"/>
      <c r="J1142" s="7"/>
      <c r="K1142" s="7"/>
      <c r="M1142" s="3"/>
      <c r="N1142" s="3"/>
    </row>
    <row r="1143" spans="1:14" ht="13" x14ac:dyDescent="0.15">
      <c r="A1143" s="29"/>
      <c r="B1143" s="2"/>
      <c r="C1143" s="2"/>
      <c r="D1143" s="2"/>
      <c r="E1143" s="3"/>
      <c r="F1143" s="3"/>
      <c r="G1143" s="7"/>
      <c r="J1143" s="7"/>
      <c r="K1143" s="7"/>
      <c r="M1143" s="3"/>
      <c r="N1143" s="3"/>
    </row>
    <row r="1144" spans="1:14" ht="13" x14ac:dyDescent="0.15">
      <c r="A1144" s="29"/>
      <c r="B1144" s="2"/>
      <c r="C1144" s="2"/>
      <c r="D1144" s="2"/>
      <c r="E1144" s="3"/>
      <c r="F1144" s="3"/>
      <c r="G1144" s="7"/>
      <c r="J1144" s="7"/>
      <c r="K1144" s="7"/>
      <c r="M1144" s="3"/>
      <c r="N1144" s="3"/>
    </row>
    <row r="1145" spans="1:14" ht="13" x14ac:dyDescent="0.15">
      <c r="A1145" s="29"/>
      <c r="B1145" s="2"/>
      <c r="C1145" s="2"/>
      <c r="D1145" s="2"/>
      <c r="E1145" s="3"/>
      <c r="F1145" s="3"/>
      <c r="G1145" s="7"/>
      <c r="J1145" s="7"/>
      <c r="K1145" s="7"/>
      <c r="M1145" s="3"/>
      <c r="N1145" s="3"/>
    </row>
    <row r="1146" spans="1:14" ht="13" x14ac:dyDescent="0.15">
      <c r="A1146" s="29"/>
      <c r="B1146" s="2"/>
      <c r="C1146" s="2"/>
      <c r="D1146" s="2"/>
      <c r="E1146" s="3"/>
      <c r="F1146" s="3"/>
      <c r="G1146" s="7"/>
      <c r="J1146" s="7"/>
      <c r="K1146" s="7"/>
      <c r="M1146" s="3"/>
      <c r="N1146" s="3"/>
    </row>
    <row r="1147" spans="1:14" ht="13" x14ac:dyDescent="0.15">
      <c r="A1147" s="29"/>
      <c r="B1147" s="2"/>
      <c r="C1147" s="2"/>
      <c r="D1147" s="2"/>
      <c r="E1147" s="3"/>
      <c r="F1147" s="3"/>
      <c r="G1147" s="7"/>
      <c r="J1147" s="7"/>
      <c r="K1147" s="7"/>
      <c r="M1147" s="3"/>
      <c r="N1147" s="3"/>
    </row>
    <row r="1148" spans="1:14" ht="13" x14ac:dyDescent="0.15">
      <c r="A1148" s="29"/>
      <c r="B1148" s="2"/>
      <c r="C1148" s="2"/>
      <c r="D1148" s="2"/>
      <c r="E1148" s="3"/>
      <c r="F1148" s="3"/>
      <c r="G1148" s="7"/>
      <c r="J1148" s="7"/>
      <c r="K1148" s="7"/>
      <c r="M1148" s="3"/>
      <c r="N1148" s="3"/>
    </row>
    <row r="1149" spans="1:14" ht="13" x14ac:dyDescent="0.15">
      <c r="A1149" s="29"/>
      <c r="B1149" s="2"/>
      <c r="C1149" s="2"/>
      <c r="D1149" s="2"/>
      <c r="E1149" s="3"/>
      <c r="F1149" s="3"/>
      <c r="G1149" s="7"/>
      <c r="J1149" s="7"/>
      <c r="K1149" s="7"/>
      <c r="M1149" s="3"/>
      <c r="N1149" s="3"/>
    </row>
    <row r="1150" spans="1:14" ht="13" x14ac:dyDescent="0.15">
      <c r="A1150" s="29"/>
      <c r="B1150" s="2"/>
      <c r="C1150" s="2"/>
      <c r="D1150" s="2"/>
      <c r="E1150" s="3"/>
      <c r="F1150" s="3"/>
      <c r="G1150" s="7"/>
      <c r="J1150" s="7"/>
      <c r="K1150" s="7"/>
      <c r="M1150" s="3"/>
      <c r="N1150" s="3"/>
    </row>
    <row r="1151" spans="1:14" ht="13" x14ac:dyDescent="0.15">
      <c r="A1151" s="29"/>
      <c r="B1151" s="2"/>
      <c r="C1151" s="2"/>
      <c r="D1151" s="2"/>
      <c r="E1151" s="3"/>
      <c r="F1151" s="3"/>
      <c r="G1151" s="7"/>
      <c r="J1151" s="7"/>
      <c r="K1151" s="7"/>
      <c r="M1151" s="3"/>
      <c r="N1151" s="3"/>
    </row>
    <row r="1152" spans="1:14" ht="13" x14ac:dyDescent="0.15">
      <c r="A1152" s="29"/>
      <c r="B1152" s="2"/>
      <c r="C1152" s="2"/>
      <c r="D1152" s="2"/>
      <c r="E1152" s="3"/>
      <c r="F1152" s="3"/>
      <c r="G1152" s="7"/>
      <c r="J1152" s="7"/>
      <c r="K1152" s="7"/>
      <c r="M1152" s="3"/>
      <c r="N1152" s="3"/>
    </row>
    <row r="1153" spans="1:14" ht="13" x14ac:dyDescent="0.15">
      <c r="A1153" s="29"/>
      <c r="B1153" s="2"/>
      <c r="C1153" s="2"/>
      <c r="D1153" s="2"/>
      <c r="E1153" s="3"/>
      <c r="F1153" s="3"/>
      <c r="G1153" s="7"/>
      <c r="J1153" s="7"/>
      <c r="K1153" s="7"/>
      <c r="M1153" s="3"/>
      <c r="N1153" s="3"/>
    </row>
    <row r="1154" spans="1:14" ht="13" x14ac:dyDescent="0.15">
      <c r="A1154" s="29"/>
      <c r="B1154" s="2"/>
      <c r="C1154" s="2"/>
      <c r="D1154" s="2"/>
      <c r="E1154" s="3"/>
      <c r="F1154" s="3"/>
      <c r="G1154" s="7"/>
      <c r="J1154" s="7"/>
      <c r="K1154" s="7"/>
      <c r="M1154" s="3"/>
      <c r="N1154" s="3"/>
    </row>
    <row r="1155" spans="1:14" ht="13" x14ac:dyDescent="0.15">
      <c r="A1155" s="29"/>
      <c r="B1155" s="2"/>
      <c r="C1155" s="2"/>
      <c r="D1155" s="2"/>
      <c r="E1155" s="3"/>
      <c r="F1155" s="3"/>
      <c r="G1155" s="7"/>
      <c r="J1155" s="7"/>
      <c r="K1155" s="7"/>
      <c r="M1155" s="3"/>
      <c r="N1155" s="3"/>
    </row>
    <row r="1156" spans="1:14" ht="13" x14ac:dyDescent="0.15">
      <c r="A1156" s="29"/>
      <c r="B1156" s="2"/>
      <c r="C1156" s="2"/>
      <c r="D1156" s="2"/>
      <c r="E1156" s="3"/>
      <c r="F1156" s="3"/>
      <c r="G1156" s="7"/>
      <c r="J1156" s="7"/>
      <c r="K1156" s="7"/>
      <c r="M1156" s="3"/>
      <c r="N1156" s="3"/>
    </row>
  </sheetData>
  <hyperlinks>
    <hyperlink ref="F1" r:id="rId1" xr:uid="{00000000-0004-0000-0000-000000000000}"/>
    <hyperlink ref="G1" r:id="rId2" xr:uid="{00000000-0004-0000-0000-000001000000}"/>
    <hyperlink ref="I1" r:id="rId3" xr:uid="{00000000-0004-0000-0000-000002000000}"/>
    <hyperlink ref="M1" r:id="rId4" xr:uid="{00000000-0004-0000-0000-000003000000}"/>
    <hyperlink ref="N1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156"/>
  <sheetViews>
    <sheetView topLeftCell="A31" workbookViewId="0">
      <selection activeCell="A36" sqref="A36"/>
    </sheetView>
  </sheetViews>
  <sheetFormatPr baseColWidth="10" defaultColWidth="12.6640625" defaultRowHeight="15.75" customHeight="1" x14ac:dyDescent="0.15"/>
  <sheetData>
    <row r="1" spans="1:13" ht="40" customHeight="1" x14ac:dyDescent="0.15">
      <c r="A1" s="30" t="s">
        <v>287</v>
      </c>
      <c r="B1" s="11" t="s">
        <v>270</v>
      </c>
      <c r="C1" s="11" t="s">
        <v>5</v>
      </c>
      <c r="D1" s="48" t="s">
        <v>276</v>
      </c>
      <c r="E1" s="32"/>
      <c r="F1" s="33" t="s">
        <v>214</v>
      </c>
      <c r="G1" s="4" t="s">
        <v>0</v>
      </c>
      <c r="K1" s="34" t="s">
        <v>215</v>
      </c>
      <c r="L1" s="34" t="s">
        <v>215</v>
      </c>
      <c r="M1" s="4" t="s">
        <v>216</v>
      </c>
    </row>
    <row r="2" spans="1:13" ht="65" customHeight="1" x14ac:dyDescent="0.15">
      <c r="A2" s="30"/>
      <c r="E2" s="35" t="s">
        <v>273</v>
      </c>
      <c r="F2" s="35" t="s">
        <v>217</v>
      </c>
      <c r="G2" s="7" t="s">
        <v>218</v>
      </c>
      <c r="H2" s="29"/>
      <c r="I2" s="7" t="s">
        <v>219</v>
      </c>
      <c r="J2" s="7" t="s">
        <v>220</v>
      </c>
      <c r="K2" s="45" t="s">
        <v>221</v>
      </c>
      <c r="L2" s="45" t="s">
        <v>222</v>
      </c>
      <c r="M2" s="7" t="s">
        <v>223</v>
      </c>
    </row>
    <row r="3" spans="1:13" ht="15.75" customHeight="1" x14ac:dyDescent="0.15">
      <c r="A3" s="14" t="s">
        <v>13</v>
      </c>
      <c r="B3" s="2" t="str">
        <f t="shared" ref="B3:B214" si="0">IF(COUNTA(I3:M3) = 0, "", IFERROR(AVERAGEIF(I3:M3, "&lt;&gt;"), ""))</f>
        <v/>
      </c>
      <c r="C3" s="2" t="str">
        <f ca="1">IFERROR(__xludf.DUMMYFUNCTION("IFERROR(STDEV.S(FILTER(H4:L4, H4:L4&lt;&gt;"""")))"),"")</f>
        <v/>
      </c>
      <c r="D3" s="47" t="s">
        <v>277</v>
      </c>
      <c r="E3" s="32"/>
      <c r="F3" s="32"/>
      <c r="G3" s="27"/>
      <c r="I3" s="6" t="str">
        <f t="shared" ref="I3:I214" si="1">IF(ISBLANK(F3), "", F3 / 35.3)</f>
        <v/>
      </c>
      <c r="J3" s="6" t="str">
        <f t="shared" ref="J3:J214" si="2">IF(ISBLANK(G3), "", G3 /36000)</f>
        <v/>
      </c>
      <c r="K3" s="15"/>
      <c r="L3" s="15"/>
      <c r="M3" s="6"/>
    </row>
    <row r="4" spans="1:13" ht="15.75" customHeight="1" x14ac:dyDescent="0.15">
      <c r="A4" s="14" t="s">
        <v>14</v>
      </c>
      <c r="B4" s="2">
        <f t="shared" si="0"/>
        <v>5.0495278564683665E-2</v>
      </c>
      <c r="C4" s="2">
        <f ca="1">IFERROR(__xludf.DUMMYFUNCTION("IFERROR(STDEV.S(FILTER(H5:L5, H5:L5&lt;&gt;"""")))"),0.00871430651677585)</f>
        <v>8.7143065167758493E-3</v>
      </c>
      <c r="D4" s="47">
        <v>0.17257665990000001</v>
      </c>
      <c r="E4" s="32"/>
      <c r="F4" s="32">
        <v>2</v>
      </c>
      <c r="G4" s="27">
        <v>1596</v>
      </c>
      <c r="I4" s="6">
        <f t="shared" si="1"/>
        <v>5.6657223796034002E-2</v>
      </c>
      <c r="J4" s="6">
        <f t="shared" si="2"/>
        <v>4.4333333333333336E-2</v>
      </c>
      <c r="K4" s="15"/>
      <c r="L4" s="15"/>
      <c r="M4" s="6"/>
    </row>
    <row r="5" spans="1:13" ht="15.75" customHeight="1" x14ac:dyDescent="0.15">
      <c r="A5" s="14" t="s">
        <v>15</v>
      </c>
      <c r="B5" s="2">
        <f t="shared" si="0"/>
        <v>104.64999680516212</v>
      </c>
      <c r="C5" s="2">
        <f ca="1">IFERROR(__xludf.DUMMYFUNCTION("IFERROR(STDEV.S(FILTER(H6:L6, H6:L6&lt;&gt;"""")))"),5.05686081368697)</f>
        <v>5.0568608136869697</v>
      </c>
      <c r="D5" s="47">
        <v>4.8321652819999998E-2</v>
      </c>
      <c r="E5" s="32"/>
      <c r="F5" s="32">
        <v>3704</v>
      </c>
      <c r="G5" s="27">
        <v>3611549</v>
      </c>
      <c r="I5" s="6">
        <f t="shared" si="1"/>
        <v>104.92917847025497</v>
      </c>
      <c r="J5" s="6">
        <f t="shared" si="2"/>
        <v>100.32080555555555</v>
      </c>
      <c r="K5" s="15">
        <v>104</v>
      </c>
      <c r="L5" s="15">
        <v>113</v>
      </c>
      <c r="M5" s="6">
        <v>101</v>
      </c>
    </row>
    <row r="6" spans="1:13" ht="15.75" customHeight="1" x14ac:dyDescent="0.15">
      <c r="A6" s="14" t="s">
        <v>16</v>
      </c>
      <c r="B6" s="2">
        <f t="shared" si="0"/>
        <v>0</v>
      </c>
      <c r="C6" s="2" t="str">
        <f ca="1">IFERROR(__xludf.DUMMYFUNCTION("IFERROR(STDEV.S(FILTER(H7:L7, H7:L7&lt;&gt;"""")))"),"")</f>
        <v/>
      </c>
      <c r="D6" s="47" t="s">
        <v>277</v>
      </c>
      <c r="E6" s="32"/>
      <c r="F6" s="32">
        <v>0</v>
      </c>
      <c r="I6" s="6">
        <f t="shared" si="1"/>
        <v>0</v>
      </c>
      <c r="J6" s="6" t="str">
        <f t="shared" si="2"/>
        <v/>
      </c>
      <c r="K6" s="18"/>
      <c r="L6" s="18"/>
    </row>
    <row r="7" spans="1:13" ht="15.75" customHeight="1" x14ac:dyDescent="0.15">
      <c r="A7" s="14" t="s">
        <v>18</v>
      </c>
      <c r="B7" s="2">
        <f t="shared" si="0"/>
        <v>5.6201546663519046</v>
      </c>
      <c r="C7" s="2">
        <f ca="1">IFERROR(__xludf.DUMMYFUNCTION("IFERROR(STDEV.S(FILTER(H9:L9, H9:L9&lt;&gt;"""")))"),0.505132256729766)</f>
        <v>0.50513225672976603</v>
      </c>
      <c r="D7" s="47">
        <v>8.9878710949999996E-2</v>
      </c>
      <c r="E7" s="32"/>
      <c r="F7" s="32">
        <v>211</v>
      </c>
      <c r="G7" s="27">
        <v>189467</v>
      </c>
      <c r="I7" s="6">
        <f t="shared" si="1"/>
        <v>5.9773371104815869</v>
      </c>
      <c r="J7" s="6">
        <f t="shared" si="2"/>
        <v>5.2629722222222224</v>
      </c>
      <c r="K7" s="20"/>
      <c r="L7" s="15"/>
    </row>
    <row r="8" spans="1:13" ht="15.75" customHeight="1" x14ac:dyDescent="0.15">
      <c r="A8" s="14" t="s">
        <v>224</v>
      </c>
      <c r="B8" s="2">
        <f t="shared" si="0"/>
        <v>0</v>
      </c>
      <c r="C8" s="2" t="str">
        <f ca="1">IFERROR(__xludf.DUMMYFUNCTION("IFERROR(STDEV.S(FILTER(H10:L10, H10:L10&lt;&gt;"""")))"),"")</f>
        <v/>
      </c>
      <c r="D8" s="47" t="s">
        <v>277</v>
      </c>
      <c r="E8" s="32"/>
      <c r="F8" s="32">
        <v>0</v>
      </c>
      <c r="G8" s="27"/>
      <c r="I8" s="6">
        <f t="shared" si="1"/>
        <v>0</v>
      </c>
      <c r="J8" s="6" t="str">
        <f t="shared" si="2"/>
        <v/>
      </c>
      <c r="K8" s="20"/>
      <c r="L8" s="15"/>
    </row>
    <row r="9" spans="1:13" ht="15.75" customHeight="1" x14ac:dyDescent="0.15">
      <c r="A9" s="14" t="s">
        <v>20</v>
      </c>
      <c r="B9" s="2">
        <f t="shared" si="0"/>
        <v>0</v>
      </c>
      <c r="C9" s="2" t="str">
        <f ca="1">IFERROR(__xludf.DUMMYFUNCTION("IFERROR(STDEV.S(FILTER(H11:L11, H11:L11&lt;&gt;"""")))"),"")</f>
        <v/>
      </c>
      <c r="D9" s="47" t="s">
        <v>277</v>
      </c>
      <c r="E9" s="32"/>
      <c r="F9" s="32">
        <v>0</v>
      </c>
      <c r="G9" s="27"/>
      <c r="I9" s="6">
        <f t="shared" si="1"/>
        <v>0</v>
      </c>
      <c r="J9" s="6" t="str">
        <f t="shared" si="2"/>
        <v/>
      </c>
      <c r="K9" s="20"/>
      <c r="L9" s="15"/>
    </row>
    <row r="10" spans="1:13" ht="15.75" customHeight="1" x14ac:dyDescent="0.15">
      <c r="A10" s="14" t="s">
        <v>21</v>
      </c>
      <c r="B10" s="2">
        <f t="shared" si="0"/>
        <v>43.196206484104501</v>
      </c>
      <c r="C10" s="2">
        <f ca="1">IFERROR(__xludf.DUMMYFUNCTION("IFERROR(STDEV.S(FILTER(H12:L12, H12:L12&lt;&gt;"""")))"),0.886386805478827)</f>
        <v>0.88638680547882698</v>
      </c>
      <c r="D10" s="47">
        <v>2.052001501E-2</v>
      </c>
      <c r="E10" s="32"/>
      <c r="F10" s="32">
        <v>1543</v>
      </c>
      <c r="G10" s="27">
        <v>1550656</v>
      </c>
      <c r="I10" s="6">
        <f t="shared" si="1"/>
        <v>43.711048158640232</v>
      </c>
      <c r="J10" s="6">
        <f t="shared" si="2"/>
        <v>43.073777777777778</v>
      </c>
      <c r="K10" s="20">
        <v>44</v>
      </c>
      <c r="L10" s="20">
        <v>42</v>
      </c>
    </row>
    <row r="11" spans="1:13" ht="15.75" customHeight="1" x14ac:dyDescent="0.15">
      <c r="A11" s="14" t="s">
        <v>22</v>
      </c>
      <c r="B11" s="2">
        <f t="shared" si="0"/>
        <v>0</v>
      </c>
      <c r="C11" s="2" t="str">
        <f ca="1">IFERROR(__xludf.DUMMYFUNCTION("IFERROR(STDEV.S(FILTER(H13:L13, H13:L13&lt;&gt;"""")))"),"")</f>
        <v/>
      </c>
      <c r="D11" s="47" t="s">
        <v>277</v>
      </c>
      <c r="E11" s="32"/>
      <c r="F11" s="32">
        <v>0</v>
      </c>
      <c r="G11" s="27"/>
      <c r="I11" s="6">
        <f t="shared" si="1"/>
        <v>0</v>
      </c>
      <c r="J11" s="6" t="str">
        <f t="shared" si="2"/>
        <v/>
      </c>
      <c r="K11" s="24"/>
      <c r="L11" s="24"/>
    </row>
    <row r="12" spans="1:13" ht="15.75" customHeight="1" x14ac:dyDescent="0.15">
      <c r="A12" s="14" t="s">
        <v>23</v>
      </c>
      <c r="B12" s="2">
        <f t="shared" si="0"/>
        <v>0</v>
      </c>
      <c r="C12" s="2" t="str">
        <f ca="1">IFERROR(__xludf.DUMMYFUNCTION("IFERROR(STDEV.S(FILTER(H14:L14, H14:L14&lt;&gt;"""")))"),"")</f>
        <v/>
      </c>
      <c r="D12" s="47" t="s">
        <v>277</v>
      </c>
      <c r="E12" s="32"/>
      <c r="F12" s="32">
        <v>0</v>
      </c>
      <c r="G12" s="27"/>
      <c r="I12" s="6">
        <f t="shared" si="1"/>
        <v>0</v>
      </c>
      <c r="J12" s="6" t="str">
        <f t="shared" si="2"/>
        <v/>
      </c>
      <c r="K12" s="24"/>
      <c r="L12" s="24"/>
    </row>
    <row r="13" spans="1:13" ht="15.75" customHeight="1" x14ac:dyDescent="0.15">
      <c r="A13" s="25" t="s">
        <v>24</v>
      </c>
      <c r="B13" s="2">
        <f t="shared" si="0"/>
        <v>154.79033800755431</v>
      </c>
      <c r="C13" s="2">
        <f ca="1">IFERROR(__xludf.DUMMYFUNCTION("IFERROR(STDEV.S(FILTER(H17:L17, H17:L17&lt;&gt;"""")))"),7.03914041558485)</f>
        <v>7.0391404155848498</v>
      </c>
      <c r="D13" s="47">
        <v>4.5475321690000001E-2</v>
      </c>
      <c r="E13" s="32"/>
      <c r="F13" s="32">
        <v>5343</v>
      </c>
      <c r="G13" s="27">
        <v>5565309</v>
      </c>
      <c r="I13" s="6">
        <f t="shared" si="1"/>
        <v>151.35977337110484</v>
      </c>
      <c r="J13" s="6">
        <f t="shared" si="2"/>
        <v>154.59191666666666</v>
      </c>
      <c r="K13" s="24">
        <v>161</v>
      </c>
      <c r="L13" s="24">
        <v>162</v>
      </c>
      <c r="M13" s="6">
        <v>145</v>
      </c>
    </row>
    <row r="14" spans="1:13" ht="15.75" customHeight="1" x14ac:dyDescent="0.15">
      <c r="A14" s="26" t="s">
        <v>25</v>
      </c>
      <c r="B14" s="2">
        <f t="shared" si="0"/>
        <v>0.53898292414227256</v>
      </c>
      <c r="C14" s="2">
        <f ca="1">IFERROR(__xludf.DUMMYFUNCTION("IFERROR(STDEV.S(FILTER(H18:L18, H18:L18&lt;&gt;"""")))"),0.00104552537130115)</f>
        <v>1.04552537130115E-3</v>
      </c>
      <c r="D14" s="47">
        <v>1.9398116789999999E-3</v>
      </c>
      <c r="E14" s="32"/>
      <c r="F14" s="32">
        <v>19</v>
      </c>
      <c r="G14" s="27">
        <v>19430</v>
      </c>
      <c r="I14" s="6">
        <f t="shared" si="1"/>
        <v>0.53824362606232301</v>
      </c>
      <c r="J14" s="6">
        <f t="shared" si="2"/>
        <v>0.53972222222222221</v>
      </c>
      <c r="K14" s="24"/>
      <c r="L14" s="24"/>
    </row>
    <row r="15" spans="1:13" ht="15.75" customHeight="1" x14ac:dyDescent="0.15">
      <c r="A15" s="26" t="s">
        <v>26</v>
      </c>
      <c r="B15" s="2">
        <f t="shared" si="0"/>
        <v>35.728266151243311</v>
      </c>
      <c r="C15" s="2">
        <f ca="1">IFERROR(__xludf.DUMMYFUNCTION("IFERROR(STDEV.S(FILTER(H19:L19, H19:L19&lt;&gt;"""")))"),1.18818067082974)</f>
        <v>1.18818067082974</v>
      </c>
      <c r="D15" s="47">
        <v>3.3256040629999997E-2</v>
      </c>
      <c r="E15" s="32"/>
      <c r="F15" s="32">
        <v>1263</v>
      </c>
      <c r="G15" s="27">
        <v>1228825</v>
      </c>
      <c r="I15" s="6">
        <f t="shared" si="1"/>
        <v>35.779036827195469</v>
      </c>
      <c r="J15" s="6">
        <f t="shared" si="2"/>
        <v>34.134027777777774</v>
      </c>
      <c r="K15" s="24">
        <v>36</v>
      </c>
      <c r="L15" s="24">
        <v>37</v>
      </c>
    </row>
    <row r="16" spans="1:13" ht="15.75" customHeight="1" x14ac:dyDescent="0.15">
      <c r="A16" s="26" t="s">
        <v>28</v>
      </c>
      <c r="B16" s="2">
        <f t="shared" si="0"/>
        <v>18.350371104815864</v>
      </c>
      <c r="C16" s="2">
        <f ca="1">IFERROR(__xludf.DUMMYFUNCTION("IFERROR(STDEV.S(FILTER(H20:L20, H20:L20&lt;&gt;"""")))"),1.69192424206187)</f>
        <v>1.6919242420618701</v>
      </c>
      <c r="D16" s="47">
        <v>9.2201091319999998E-2</v>
      </c>
      <c r="E16" s="32"/>
      <c r="F16" s="32">
        <v>690</v>
      </c>
      <c r="G16" s="6">
        <v>617544</v>
      </c>
      <c r="I16" s="6">
        <f t="shared" si="1"/>
        <v>19.546742209631731</v>
      </c>
      <c r="J16" s="6">
        <f t="shared" si="2"/>
        <v>17.154</v>
      </c>
      <c r="K16" s="24"/>
      <c r="L16" s="24"/>
    </row>
    <row r="17" spans="1:13" ht="15.75" customHeight="1" x14ac:dyDescent="0.15">
      <c r="A17" s="26" t="s">
        <v>29</v>
      </c>
      <c r="B17" s="2">
        <f t="shared" si="0"/>
        <v>23.014151282656595</v>
      </c>
      <c r="C17" s="2">
        <f ca="1">IFERROR(__xludf.DUMMYFUNCTION("IFERROR(STDEV.S(FILTER(H21:L21, H21:L21&lt;&gt;"""")))"),0.937448929578718)</f>
        <v>0.93744892957871795</v>
      </c>
      <c r="D17" s="47">
        <v>4.0733586830000001E-2</v>
      </c>
      <c r="E17" s="32"/>
      <c r="F17" s="32">
        <v>789</v>
      </c>
      <c r="G17" s="6">
        <v>852373</v>
      </c>
      <c r="I17" s="6">
        <f t="shared" si="1"/>
        <v>22.351274787535413</v>
      </c>
      <c r="J17" s="6">
        <f t="shared" si="2"/>
        <v>23.677027777777777</v>
      </c>
      <c r="K17" s="24"/>
      <c r="L17" s="24"/>
    </row>
    <row r="18" spans="1:13" ht="15.75" customHeight="1" x14ac:dyDescent="0.15">
      <c r="A18" s="26" t="s">
        <v>30</v>
      </c>
      <c r="B18" s="2">
        <f t="shared" si="0"/>
        <v>8.4985835694051E-3</v>
      </c>
      <c r="C18" s="2" t="str">
        <f ca="1">IFERROR(__xludf.DUMMYFUNCTION("IFERROR(STDEV.S(FILTER(H22:L22, H22:L22&lt;&gt;"""")))"),"")</f>
        <v/>
      </c>
      <c r="D18" s="47">
        <v>0</v>
      </c>
      <c r="E18" s="32"/>
      <c r="F18" s="32">
        <v>0.3</v>
      </c>
      <c r="G18" s="6"/>
      <c r="I18" s="6">
        <f t="shared" si="1"/>
        <v>8.4985835694051E-3</v>
      </c>
      <c r="J18" s="6" t="str">
        <f t="shared" si="2"/>
        <v/>
      </c>
      <c r="K18" s="24"/>
      <c r="L18" s="24"/>
    </row>
    <row r="19" spans="1:13" ht="15.75" customHeight="1" x14ac:dyDescent="0.15">
      <c r="A19" s="26" t="s">
        <v>31</v>
      </c>
      <c r="B19" s="2">
        <f t="shared" si="0"/>
        <v>0.10802211205539818</v>
      </c>
      <c r="C19" s="2">
        <f ca="1">IFERROR(__xludf.DUMMYFUNCTION("IFERROR(STDEV.S(FILTER(H23:L23, H23:L23&lt;&gt;"""")))"),0.0566158387464195)</f>
        <v>5.6615838746419497E-2</v>
      </c>
      <c r="D19" s="47">
        <v>0.52411342149999995</v>
      </c>
      <c r="E19" s="32"/>
      <c r="F19" s="32">
        <v>2.4</v>
      </c>
      <c r="G19" s="6">
        <v>5330</v>
      </c>
      <c r="I19" s="6">
        <f t="shared" si="1"/>
        <v>6.79886685552408E-2</v>
      </c>
      <c r="J19" s="6">
        <f t="shared" si="2"/>
        <v>0.14805555555555555</v>
      </c>
      <c r="K19" s="24"/>
      <c r="L19" s="24"/>
    </row>
    <row r="20" spans="1:13" ht="15.75" customHeight="1" x14ac:dyDescent="0.15">
      <c r="A20" s="26" t="s">
        <v>32</v>
      </c>
      <c r="B20" s="2">
        <f t="shared" si="0"/>
        <v>6.4299653761410135E-3</v>
      </c>
      <c r="C20" s="2">
        <f ca="1">IFERROR(__xludf.DUMMYFUNCTION("IFERROR(STDEV.S(FILTER(H24:L24, H24:L24&lt;&gt;"""")))"),0.0075006801527408)</f>
        <v>7.5006801527408001E-3</v>
      </c>
      <c r="D20" s="47">
        <v>1.1665195239999999</v>
      </c>
      <c r="E20" s="32"/>
      <c r="F20" s="32">
        <v>0.5</v>
      </c>
      <c r="G20" s="6">
        <v>416</v>
      </c>
      <c r="I20" s="6">
        <f t="shared" si="1"/>
        <v>1.4164305949008501E-2</v>
      </c>
      <c r="J20" s="6">
        <f t="shared" si="2"/>
        <v>1.1555555555555555E-2</v>
      </c>
      <c r="K20" s="24">
        <v>0</v>
      </c>
      <c r="L20" s="24">
        <v>0</v>
      </c>
    </row>
    <row r="21" spans="1:13" ht="15.75" customHeight="1" x14ac:dyDescent="0.15">
      <c r="A21" s="26" t="s">
        <v>33</v>
      </c>
      <c r="B21" s="2">
        <f t="shared" si="0"/>
        <v>0</v>
      </c>
      <c r="C21" s="2" t="str">
        <f ca="1">IFERROR(__xludf.DUMMYFUNCTION("IFERROR(STDEV.S(FILTER(H25:L25, H25:L25&lt;&gt;"""")))"),"")</f>
        <v/>
      </c>
      <c r="D21" s="47" t="s">
        <v>277</v>
      </c>
      <c r="E21" s="32"/>
      <c r="F21" s="32">
        <v>0</v>
      </c>
      <c r="G21" s="6"/>
      <c r="I21" s="6">
        <f t="shared" si="1"/>
        <v>0</v>
      </c>
      <c r="J21" s="6" t="str">
        <f t="shared" si="2"/>
        <v/>
      </c>
      <c r="K21" s="24"/>
      <c r="L21" s="24"/>
      <c r="M21" s="6"/>
    </row>
    <row r="22" spans="1:13" ht="15.75" customHeight="1" x14ac:dyDescent="0.15">
      <c r="A22" s="46" t="s">
        <v>35</v>
      </c>
      <c r="B22" s="2">
        <f t="shared" si="0"/>
        <v>0</v>
      </c>
      <c r="C22" s="2" t="str">
        <f ca="1">IFERROR(__xludf.DUMMYFUNCTION("IFERROR(STDEV.S(FILTER(H26:L26, H26:L26&lt;&gt;"""")))"),"")</f>
        <v/>
      </c>
      <c r="D22" s="47" t="s">
        <v>277</v>
      </c>
      <c r="E22" s="32"/>
      <c r="F22" s="32">
        <v>0</v>
      </c>
      <c r="G22" s="6"/>
      <c r="I22" s="6">
        <f t="shared" si="1"/>
        <v>0</v>
      </c>
      <c r="J22" s="6" t="str">
        <f t="shared" si="2"/>
        <v/>
      </c>
      <c r="K22" s="24"/>
      <c r="L22" s="24"/>
      <c r="M22" s="6"/>
    </row>
    <row r="23" spans="1:13" ht="15.75" customHeight="1" x14ac:dyDescent="0.15">
      <c r="A23" s="26" t="s">
        <v>34</v>
      </c>
      <c r="B23" s="2">
        <f t="shared" si="0"/>
        <v>0</v>
      </c>
      <c r="C23" s="2" t="str">
        <f ca="1">IFERROR(__xludf.DUMMYFUNCTION("IFERROR(STDEV.S(FILTER(H27:L27, H27:L27&lt;&gt;"""")))"),"")</f>
        <v/>
      </c>
      <c r="D23" s="47" t="s">
        <v>277</v>
      </c>
      <c r="E23" s="32"/>
      <c r="F23" s="32">
        <v>0</v>
      </c>
      <c r="G23" s="6"/>
      <c r="I23" s="6">
        <f t="shared" si="1"/>
        <v>0</v>
      </c>
      <c r="J23" s="6" t="str">
        <f t="shared" si="2"/>
        <v/>
      </c>
      <c r="K23" s="24"/>
      <c r="L23" s="24"/>
      <c r="M23" s="6"/>
    </row>
    <row r="24" spans="1:13" ht="15.75" customHeight="1" x14ac:dyDescent="0.15">
      <c r="A24" s="26" t="s">
        <v>36</v>
      </c>
      <c r="B24" s="2">
        <f t="shared" si="0"/>
        <v>0</v>
      </c>
      <c r="C24" s="2" t="str">
        <f ca="1">IFERROR(__xludf.DUMMYFUNCTION("IFERROR(STDEV.S(FILTER(H28:L28, H28:L28&lt;&gt;"""")))"),"")</f>
        <v/>
      </c>
      <c r="D24" s="47" t="s">
        <v>277</v>
      </c>
      <c r="E24" s="32"/>
      <c r="F24" s="32">
        <v>0</v>
      </c>
      <c r="G24" s="6"/>
      <c r="I24" s="6">
        <f t="shared" si="1"/>
        <v>0</v>
      </c>
      <c r="J24" s="6" t="str">
        <f t="shared" si="2"/>
        <v/>
      </c>
      <c r="K24" s="24"/>
      <c r="L24" s="24"/>
      <c r="M24" s="6"/>
    </row>
    <row r="25" spans="1:13" ht="15.75" customHeight="1" x14ac:dyDescent="0.15">
      <c r="A25" s="26" t="s">
        <v>37</v>
      </c>
      <c r="B25" s="2">
        <f t="shared" si="0"/>
        <v>13.263239337425244</v>
      </c>
      <c r="C25" s="2">
        <f ca="1">IFERROR(__xludf.DUMMYFUNCTION("IFERROR(STDEV.S(FILTER(H29:L29, H29:L29&lt;&gt;"""")))"),1.36983804915643)</f>
        <v>1.3698380491564299</v>
      </c>
      <c r="D25" s="47">
        <v>0.103280806</v>
      </c>
      <c r="E25" s="32"/>
      <c r="F25" s="32">
        <v>434</v>
      </c>
      <c r="G25" s="6">
        <v>512347</v>
      </c>
      <c r="I25" s="6">
        <f t="shared" si="1"/>
        <v>12.294617563739378</v>
      </c>
      <c r="J25" s="6">
        <f t="shared" si="2"/>
        <v>14.231861111111112</v>
      </c>
      <c r="K25" s="24"/>
      <c r="L25" s="24"/>
      <c r="M25" s="6"/>
    </row>
    <row r="26" spans="1:13" ht="15.75" customHeight="1" x14ac:dyDescent="0.15">
      <c r="A26" s="46" t="s">
        <v>285</v>
      </c>
      <c r="B26" s="2">
        <f t="shared" si="0"/>
        <v>0</v>
      </c>
      <c r="C26" s="2" t="str">
        <f ca="1">IFERROR(__xludf.DUMMYFUNCTION("IFERROR(STDEV.S(FILTER(H30:L30, H30:L30&lt;&gt;"""")))"),"")</f>
        <v/>
      </c>
      <c r="D26" s="47" t="s">
        <v>277</v>
      </c>
      <c r="E26" s="32"/>
      <c r="F26" s="32">
        <v>0</v>
      </c>
      <c r="G26" s="6"/>
      <c r="I26" s="6">
        <f t="shared" si="1"/>
        <v>0</v>
      </c>
      <c r="J26" s="6" t="str">
        <f t="shared" si="2"/>
        <v/>
      </c>
      <c r="K26" s="24"/>
      <c r="L26" s="24"/>
      <c r="M26" s="6"/>
    </row>
    <row r="27" spans="1:13" ht="15.75" customHeight="1" x14ac:dyDescent="0.15">
      <c r="A27" s="6" t="s">
        <v>39</v>
      </c>
      <c r="B27" s="2">
        <f t="shared" si="0"/>
        <v>0</v>
      </c>
      <c r="C27" s="2" t="str">
        <f ca="1">IFERROR(__xludf.DUMMYFUNCTION("IFERROR(STDEV.S(FILTER(H31:L31, H31:L31&lt;&gt;"""")))"),"")</f>
        <v/>
      </c>
      <c r="D27" s="47" t="s">
        <v>277</v>
      </c>
      <c r="E27" s="32"/>
      <c r="F27" s="32">
        <v>0</v>
      </c>
      <c r="G27" s="6"/>
      <c r="I27" s="6">
        <f t="shared" si="1"/>
        <v>0</v>
      </c>
      <c r="J27" s="6" t="str">
        <f t="shared" si="2"/>
        <v/>
      </c>
      <c r="K27" s="24"/>
      <c r="L27" s="24"/>
      <c r="M27" s="6"/>
    </row>
    <row r="28" spans="1:13" ht="15.75" customHeight="1" x14ac:dyDescent="0.15">
      <c r="A28" s="26" t="s">
        <v>40</v>
      </c>
      <c r="B28" s="2">
        <f t="shared" si="0"/>
        <v>24.704276015108594</v>
      </c>
      <c r="C28" s="2">
        <f ca="1">IFERROR(__xludf.DUMMYFUNCTION("IFERROR(STDEV.S(FILTER(H32:L32, H32:L32&lt;&gt;"""")))"),3.87939450964572)</f>
        <v>3.8793945096457199</v>
      </c>
      <c r="D28" s="47">
        <v>0.15703332119999999</v>
      </c>
      <c r="E28" s="32"/>
      <c r="F28" s="32">
        <v>802</v>
      </c>
      <c r="G28" s="6">
        <v>856866</v>
      </c>
      <c r="I28" s="6">
        <f t="shared" si="1"/>
        <v>22.719546742209634</v>
      </c>
      <c r="J28" s="6">
        <f t="shared" si="2"/>
        <v>23.801833333333335</v>
      </c>
      <c r="K28" s="24">
        <v>27</v>
      </c>
      <c r="L28" s="24">
        <v>30</v>
      </c>
      <c r="M28" s="6">
        <v>20</v>
      </c>
    </row>
    <row r="29" spans="1:13" ht="15.75" customHeight="1" x14ac:dyDescent="0.15">
      <c r="A29" s="26" t="s">
        <v>41</v>
      </c>
      <c r="B29" s="2">
        <f t="shared" si="0"/>
        <v>0</v>
      </c>
      <c r="C29" s="2" t="str">
        <f ca="1">IFERROR(__xludf.DUMMYFUNCTION("IFERROR(STDEV.S(FILTER(H33:L33, H33:L33&lt;&gt;"""")))"),"")</f>
        <v/>
      </c>
      <c r="D29" s="47" t="s">
        <v>277</v>
      </c>
      <c r="E29" s="32"/>
      <c r="F29" s="32">
        <v>0</v>
      </c>
      <c r="G29" s="27"/>
      <c r="I29" s="6">
        <f t="shared" si="1"/>
        <v>0</v>
      </c>
      <c r="J29" s="6" t="str">
        <f t="shared" si="2"/>
        <v/>
      </c>
      <c r="K29" s="24"/>
      <c r="L29" s="24"/>
      <c r="M29" s="6"/>
    </row>
    <row r="30" spans="1:13" ht="15.75" customHeight="1" x14ac:dyDescent="0.15">
      <c r="A30" s="26" t="s">
        <v>225</v>
      </c>
      <c r="B30" s="2">
        <f t="shared" si="0"/>
        <v>9.3854095845136918</v>
      </c>
      <c r="C30" s="2">
        <f ca="1">IFERROR(__xludf.DUMMYFUNCTION("IFERROR(STDEV.S(FILTER(H34:L34, H34:L34&lt;&gt;"""")))"),0.98935022233339)</f>
        <v>0.98935022233338998</v>
      </c>
      <c r="D30" s="47">
        <v>0.1054136437</v>
      </c>
      <c r="E30" s="32"/>
      <c r="F30" s="32">
        <v>356</v>
      </c>
      <c r="G30" s="27">
        <v>312690</v>
      </c>
      <c r="I30" s="6">
        <f t="shared" si="1"/>
        <v>10.084985835694052</v>
      </c>
      <c r="J30" s="6">
        <f t="shared" si="2"/>
        <v>8.6858333333333331</v>
      </c>
      <c r="K30" s="24"/>
      <c r="L30" s="24"/>
      <c r="M30" s="6"/>
    </row>
    <row r="31" spans="1:13" ht="15.75" customHeight="1" x14ac:dyDescent="0.15">
      <c r="A31" s="26" t="s">
        <v>43</v>
      </c>
      <c r="B31" s="2">
        <f t="shared" si="0"/>
        <v>8.5416666666666662E-3</v>
      </c>
      <c r="C31" s="2">
        <f ca="1">IFERROR(__xludf.DUMMYFUNCTION("IFERROR(STDEV.S(FILTER(H35:L35, H35:L35&lt;&gt;"""")))"),0.0120797408452701)</f>
        <v>1.2079740845270101E-2</v>
      </c>
      <c r="D31" s="47">
        <v>1.414213562</v>
      </c>
      <c r="E31" s="32"/>
      <c r="F31" s="32">
        <v>0</v>
      </c>
      <c r="G31" s="27">
        <v>615</v>
      </c>
      <c r="I31" s="6">
        <f t="shared" si="1"/>
        <v>0</v>
      </c>
      <c r="J31" s="6">
        <f t="shared" si="2"/>
        <v>1.7083333333333332E-2</v>
      </c>
      <c r="K31" s="24"/>
      <c r="L31" s="24"/>
      <c r="M31" s="6"/>
    </row>
    <row r="32" spans="1:13" ht="15.75" customHeight="1" x14ac:dyDescent="0.15">
      <c r="A32" s="26" t="s">
        <v>44</v>
      </c>
      <c r="B32" s="2">
        <f t="shared" si="0"/>
        <v>0</v>
      </c>
      <c r="C32" s="2" t="str">
        <f ca="1">IFERROR(__xludf.DUMMYFUNCTION("IFERROR(STDEV.S(FILTER(H36:L36, H36:L36&lt;&gt;"""")))"),"")</f>
        <v/>
      </c>
      <c r="D32" s="47" t="s">
        <v>277</v>
      </c>
      <c r="E32" s="32"/>
      <c r="F32" s="32">
        <v>0</v>
      </c>
      <c r="G32" s="27"/>
      <c r="I32" s="6">
        <f t="shared" si="1"/>
        <v>0</v>
      </c>
      <c r="J32" s="6" t="str">
        <f t="shared" si="2"/>
        <v/>
      </c>
      <c r="K32" s="24"/>
      <c r="L32" s="24"/>
      <c r="M32" s="6"/>
    </row>
    <row r="33" spans="1:13" ht="15.75" customHeight="1" x14ac:dyDescent="0.15">
      <c r="A33" s="26" t="s">
        <v>226</v>
      </c>
      <c r="B33" s="2">
        <f t="shared" si="0"/>
        <v>13.541076487252125</v>
      </c>
      <c r="C33" s="2" t="str">
        <f ca="1">IFERROR(__xludf.DUMMYFUNCTION("IFERROR(STDEV.S(FILTER(H37:L37, H37:L37&lt;&gt;"""")))"),"")</f>
        <v/>
      </c>
      <c r="D33" s="47">
        <v>0</v>
      </c>
      <c r="E33" s="32"/>
      <c r="F33" s="32">
        <v>478</v>
      </c>
      <c r="G33" s="27"/>
      <c r="I33" s="6">
        <f t="shared" si="1"/>
        <v>13.541076487252125</v>
      </c>
      <c r="J33" s="6" t="str">
        <f t="shared" si="2"/>
        <v/>
      </c>
      <c r="K33" s="24"/>
      <c r="L33" s="24"/>
      <c r="M33" s="6"/>
    </row>
    <row r="34" spans="1:13" ht="15.75" customHeight="1" x14ac:dyDescent="0.15">
      <c r="A34" s="26" t="s">
        <v>227</v>
      </c>
      <c r="B34" s="2">
        <f t="shared" si="0"/>
        <v>0</v>
      </c>
      <c r="C34" s="2" t="str">
        <f ca="1">IFERROR(__xludf.DUMMYFUNCTION("IFERROR(STDEV.S(FILTER(H38:L38, H38:L38&lt;&gt;"""")))"),"")</f>
        <v/>
      </c>
      <c r="D34" s="47" t="s">
        <v>277</v>
      </c>
      <c r="E34" s="32"/>
      <c r="F34" s="32">
        <v>0</v>
      </c>
      <c r="G34" s="27"/>
      <c r="I34" s="6">
        <f t="shared" si="1"/>
        <v>0</v>
      </c>
      <c r="J34" s="6" t="str">
        <f t="shared" si="2"/>
        <v/>
      </c>
      <c r="K34" s="24"/>
      <c r="L34" s="24"/>
      <c r="M34" s="6"/>
    </row>
    <row r="35" spans="1:13" ht="15.75" customHeight="1" x14ac:dyDescent="0.15">
      <c r="A35" s="46" t="s">
        <v>48</v>
      </c>
      <c r="B35" s="2">
        <f t="shared" si="0"/>
        <v>0</v>
      </c>
      <c r="C35" s="2" t="str">
        <f ca="1">IFERROR(__xludf.DUMMYFUNCTION("IFERROR(STDEV.S(FILTER(H39:L39, H39:L39&lt;&gt;"""")))"),"")</f>
        <v/>
      </c>
      <c r="D35" s="47" t="s">
        <v>277</v>
      </c>
      <c r="E35" s="32"/>
      <c r="F35" s="32">
        <v>0</v>
      </c>
      <c r="G35" s="27"/>
      <c r="I35" s="6">
        <f t="shared" si="1"/>
        <v>0</v>
      </c>
      <c r="J35" s="6" t="str">
        <f t="shared" si="2"/>
        <v/>
      </c>
      <c r="K35" s="24"/>
      <c r="L35" s="24"/>
      <c r="M35" s="6"/>
    </row>
    <row r="36" spans="1:13" ht="15.75" customHeight="1" x14ac:dyDescent="0.15">
      <c r="A36" s="26" t="s">
        <v>45</v>
      </c>
      <c r="B36" s="2">
        <f t="shared" si="0"/>
        <v>0</v>
      </c>
      <c r="C36" s="2" t="str">
        <f ca="1">IFERROR(__xludf.DUMMYFUNCTION("IFERROR(STDEV.S(FILTER(H40:L40, H40:L40&lt;&gt;"""")))"),"")</f>
        <v/>
      </c>
      <c r="D36" s="47" t="s">
        <v>277</v>
      </c>
      <c r="E36" s="32"/>
      <c r="F36" s="32">
        <v>0</v>
      </c>
      <c r="G36" s="27"/>
      <c r="I36" s="6">
        <f t="shared" si="1"/>
        <v>0</v>
      </c>
      <c r="J36" s="6" t="str">
        <f t="shared" si="2"/>
        <v/>
      </c>
      <c r="K36" s="24"/>
      <c r="L36" s="24"/>
      <c r="M36" s="6"/>
    </row>
    <row r="37" spans="1:13" ht="14" x14ac:dyDescent="0.15">
      <c r="A37" s="26" t="s">
        <v>46</v>
      </c>
      <c r="B37" s="2">
        <f t="shared" si="0"/>
        <v>2.3156235048788165</v>
      </c>
      <c r="C37" s="2">
        <f ca="1">IFERROR(__xludf.DUMMYFUNCTION("IFERROR(STDEV.S(FILTER(H41:L41, H41:L41&lt;&gt;"""")))"),0.0504185274489522)</f>
        <v>5.04185274489522E-2</v>
      </c>
      <c r="D37" s="47">
        <v>2.1773197300000002E-2</v>
      </c>
      <c r="E37" s="32"/>
      <c r="F37" s="32">
        <v>83</v>
      </c>
      <c r="G37" s="27">
        <v>82079</v>
      </c>
      <c r="I37" s="6">
        <f t="shared" si="1"/>
        <v>2.3512747875354107</v>
      </c>
      <c r="J37" s="6">
        <f t="shared" si="2"/>
        <v>2.2799722222222223</v>
      </c>
      <c r="K37" s="24"/>
      <c r="L37" s="24"/>
      <c r="M37" s="6"/>
    </row>
    <row r="38" spans="1:13" ht="14" x14ac:dyDescent="0.15">
      <c r="A38" s="26" t="s">
        <v>47</v>
      </c>
      <c r="B38" s="2">
        <f t="shared" si="0"/>
        <v>200.85219357884799</v>
      </c>
      <c r="C38" s="2">
        <f ca="1">IFERROR(__xludf.DUMMYFUNCTION("IFERROR(STDEV.S(FILTER(H42:L42, H42:L42&lt;&gt;"""")))"),14.1655008733819)</f>
        <v>14.1655008733819</v>
      </c>
      <c r="D38" s="47">
        <v>7.0526991119999993E-2</v>
      </c>
      <c r="E38" s="32"/>
      <c r="F38" s="32">
        <v>6855</v>
      </c>
      <c r="G38" s="27">
        <v>7346460</v>
      </c>
      <c r="I38" s="6">
        <f t="shared" si="1"/>
        <v>194.19263456090653</v>
      </c>
      <c r="J38" s="6">
        <f t="shared" si="2"/>
        <v>204.06833333333333</v>
      </c>
      <c r="K38" s="24">
        <v>210</v>
      </c>
      <c r="L38" s="24">
        <v>216</v>
      </c>
      <c r="M38" s="6">
        <v>180</v>
      </c>
    </row>
    <row r="39" spans="1:13" ht="28" x14ac:dyDescent="0.15">
      <c r="A39" s="26" t="s">
        <v>49</v>
      </c>
      <c r="B39" s="2">
        <f t="shared" si="0"/>
        <v>0</v>
      </c>
      <c r="C39" s="2" t="str">
        <f ca="1">IFERROR(__xludf.DUMMYFUNCTION("IFERROR(STDEV.S(FILTER(H43:L43, H43:L43&lt;&gt;"""")))"),"")</f>
        <v/>
      </c>
      <c r="D39" s="47" t="s">
        <v>277</v>
      </c>
      <c r="E39" s="32"/>
      <c r="F39" s="32">
        <v>0</v>
      </c>
      <c r="G39" s="6"/>
      <c r="I39" s="6">
        <f t="shared" si="1"/>
        <v>0</v>
      </c>
      <c r="J39" s="6" t="str">
        <f t="shared" si="2"/>
        <v/>
      </c>
      <c r="K39" s="24"/>
      <c r="L39" s="24"/>
    </row>
    <row r="40" spans="1:13" ht="28" x14ac:dyDescent="0.15">
      <c r="A40" s="46" t="s">
        <v>281</v>
      </c>
      <c r="B40" s="2">
        <f t="shared" si="0"/>
        <v>0</v>
      </c>
      <c r="C40" s="2" t="str">
        <f ca="1">IFERROR(__xludf.DUMMYFUNCTION("IFERROR(STDEV.S(FILTER(H44:L44, H44:L44&lt;&gt;"""")))"),"")</f>
        <v/>
      </c>
      <c r="D40" s="47" t="s">
        <v>277</v>
      </c>
      <c r="E40" s="32"/>
      <c r="F40" s="32">
        <v>0</v>
      </c>
      <c r="G40" s="6"/>
      <c r="I40" s="6">
        <f t="shared" si="1"/>
        <v>0</v>
      </c>
      <c r="J40" s="6" t="str">
        <f t="shared" si="2"/>
        <v/>
      </c>
      <c r="K40" s="24"/>
      <c r="L40" s="24"/>
    </row>
    <row r="41" spans="1:13" ht="14" x14ac:dyDescent="0.15">
      <c r="A41" s="26" t="s">
        <v>50</v>
      </c>
      <c r="B41" s="2">
        <f t="shared" si="0"/>
        <v>0</v>
      </c>
      <c r="C41" s="2" t="str">
        <f ca="1">IFERROR(__xludf.DUMMYFUNCTION("IFERROR(STDEV.S(FILTER(H45:L45, H45:L45&lt;&gt;"""")))"),"")</f>
        <v/>
      </c>
      <c r="D41" s="47" t="s">
        <v>277</v>
      </c>
      <c r="E41" s="32"/>
      <c r="F41" s="32">
        <v>0</v>
      </c>
      <c r="G41" s="6"/>
      <c r="I41" s="6">
        <f t="shared" si="1"/>
        <v>0</v>
      </c>
      <c r="J41" s="6" t="str">
        <f t="shared" si="2"/>
        <v/>
      </c>
      <c r="K41" s="24"/>
      <c r="L41" s="24"/>
    </row>
    <row r="42" spans="1:13" ht="14" x14ac:dyDescent="0.15">
      <c r="A42" s="26" t="s">
        <v>51</v>
      </c>
      <c r="B42" s="2">
        <f t="shared" si="0"/>
        <v>1.1569155649984262</v>
      </c>
      <c r="C42" s="2">
        <f ca="1">IFERROR(__xludf.DUMMYFUNCTION("IFERROR(STDEV.S(FILTER(H46:L46, H46:L46&lt;&gt;"""")))"),0.185032751327204)</f>
        <v>0.18503275132720401</v>
      </c>
      <c r="D42" s="47">
        <v>0.1599362624</v>
      </c>
      <c r="E42" s="32"/>
      <c r="F42" s="32">
        <v>48</v>
      </c>
      <c r="G42" s="6">
        <v>45644</v>
      </c>
      <c r="I42" s="6">
        <f t="shared" si="1"/>
        <v>1.3597733711048159</v>
      </c>
      <c r="J42" s="6">
        <f t="shared" si="2"/>
        <v>1.2678888888888888</v>
      </c>
      <c r="K42" s="24">
        <v>1</v>
      </c>
      <c r="L42" s="24">
        <v>1</v>
      </c>
    </row>
    <row r="43" spans="1:13" ht="14" x14ac:dyDescent="0.15">
      <c r="A43" s="26" t="s">
        <v>52</v>
      </c>
      <c r="B43" s="2">
        <f t="shared" si="0"/>
        <v>236.74362255272271</v>
      </c>
      <c r="C43" s="2">
        <f ca="1">IFERROR(__xludf.DUMMYFUNCTION("IFERROR(STDEV.S(FILTER(H47:L47, H47:L47&lt;&gt;"""")))"),29.8304986345727)</f>
        <v>29.830498634572699</v>
      </c>
      <c r="D43" s="47">
        <v>0.1260033884</v>
      </c>
      <c r="E43" s="32"/>
      <c r="F43" s="32">
        <v>8454</v>
      </c>
      <c r="G43" s="27">
        <v>7712209</v>
      </c>
      <c r="I43" s="6">
        <f t="shared" si="1"/>
        <v>239.49008498583572</v>
      </c>
      <c r="J43" s="6">
        <f t="shared" si="2"/>
        <v>214.22802777777778</v>
      </c>
      <c r="K43" s="24">
        <v>258</v>
      </c>
      <c r="L43" s="24">
        <v>272</v>
      </c>
      <c r="M43" s="6">
        <v>200</v>
      </c>
    </row>
    <row r="44" spans="1:13" ht="14" x14ac:dyDescent="0.15">
      <c r="A44" s="26" t="s">
        <v>53</v>
      </c>
      <c r="B44" s="2">
        <f t="shared" si="0"/>
        <v>11.625940214825308</v>
      </c>
      <c r="C44" s="2">
        <f ca="1">IFERROR(__xludf.DUMMYFUNCTION("IFERROR(STDEV.S(FILTER(H50:L50, H50:L50&lt;&gt;"""")))"),1.09891969821411)</f>
        <v>1.0989196982141101</v>
      </c>
      <c r="D44" s="47">
        <v>9.4523081819999993E-2</v>
      </c>
      <c r="E44" s="32"/>
      <c r="F44" s="32">
        <v>386</v>
      </c>
      <c r="G44" s="6">
        <v>380481</v>
      </c>
      <c r="I44" s="6">
        <f t="shared" si="1"/>
        <v>10.934844192634563</v>
      </c>
      <c r="J44" s="6">
        <f t="shared" si="2"/>
        <v>10.568916666666667</v>
      </c>
      <c r="K44" s="24">
        <v>12</v>
      </c>
      <c r="L44" s="24">
        <v>13</v>
      </c>
    </row>
    <row r="45" spans="1:13" ht="14" x14ac:dyDescent="0.15">
      <c r="A45" s="26" t="s">
        <v>54</v>
      </c>
      <c r="B45" s="2">
        <f t="shared" si="0"/>
        <v>0</v>
      </c>
      <c r="C45" s="2" t="str">
        <f ca="1">IFERROR(__xludf.DUMMYFUNCTION("IFERROR(STDEV.S(FILTER(H51:L51, H51:L51&lt;&gt;"""")))"),"")</f>
        <v/>
      </c>
      <c r="D45" s="47" t="s">
        <v>277</v>
      </c>
      <c r="E45" s="32"/>
      <c r="F45" s="32">
        <v>0</v>
      </c>
      <c r="G45" s="6"/>
      <c r="I45" s="6">
        <f t="shared" si="1"/>
        <v>0</v>
      </c>
      <c r="J45" s="6" t="str">
        <f t="shared" si="2"/>
        <v/>
      </c>
      <c r="K45" s="24"/>
      <c r="L45" s="24"/>
    </row>
    <row r="46" spans="1:13" ht="14" x14ac:dyDescent="0.15">
      <c r="A46" s="26" t="s">
        <v>55</v>
      </c>
      <c r="B46" s="2">
        <f t="shared" si="0"/>
        <v>1.3118888888888889</v>
      </c>
      <c r="C46" s="2" t="str">
        <f ca="1">IFERROR(__xludf.DUMMYFUNCTION("IFERROR(STDEV.S(FILTER(H52:L52, H52:L52&lt;&gt;"""")))"),"")</f>
        <v/>
      </c>
      <c r="D46" s="47">
        <v>0</v>
      </c>
      <c r="E46" s="32"/>
      <c r="F46" s="32"/>
      <c r="G46" s="6">
        <v>47228</v>
      </c>
      <c r="I46" s="6" t="str">
        <f t="shared" si="1"/>
        <v/>
      </c>
      <c r="J46" s="6">
        <f t="shared" si="2"/>
        <v>1.3118888888888889</v>
      </c>
      <c r="K46" s="24"/>
      <c r="L46" s="24"/>
    </row>
    <row r="47" spans="1:13" ht="14" x14ac:dyDescent="0.15">
      <c r="A47" s="26" t="s">
        <v>56</v>
      </c>
      <c r="B47" s="2">
        <f t="shared" si="0"/>
        <v>0</v>
      </c>
      <c r="C47" s="2" t="str">
        <f ca="1">IFERROR(__xludf.DUMMYFUNCTION("IFERROR(STDEV.S(FILTER(H55:L55, H55:L55&lt;&gt;"""")))"),"")</f>
        <v/>
      </c>
      <c r="D47" s="47" t="s">
        <v>277</v>
      </c>
      <c r="E47" s="32"/>
      <c r="F47" s="32">
        <v>0</v>
      </c>
      <c r="G47" s="6"/>
      <c r="I47" s="6">
        <f t="shared" si="1"/>
        <v>0</v>
      </c>
      <c r="J47" s="6" t="str">
        <f t="shared" si="2"/>
        <v/>
      </c>
      <c r="K47" s="24"/>
      <c r="L47" s="24"/>
    </row>
    <row r="48" spans="1:13" ht="14" x14ac:dyDescent="0.15">
      <c r="A48" s="26" t="s">
        <v>228</v>
      </c>
      <c r="B48" s="2">
        <f t="shared" si="0"/>
        <v>0</v>
      </c>
      <c r="C48" s="2" t="str">
        <f ca="1">IFERROR(__xludf.DUMMYFUNCTION("IFERROR(STDEV.S(FILTER(H56:L56, H56:L56&lt;&gt;"""")))"),"")</f>
        <v/>
      </c>
      <c r="D48" s="47" t="s">
        <v>277</v>
      </c>
      <c r="E48" s="32"/>
      <c r="F48" s="32">
        <v>0</v>
      </c>
      <c r="G48" s="6"/>
      <c r="I48" s="6">
        <f t="shared" si="1"/>
        <v>0</v>
      </c>
      <c r="J48" s="6" t="str">
        <f t="shared" si="2"/>
        <v/>
      </c>
      <c r="K48" s="24"/>
      <c r="L48" s="24"/>
    </row>
    <row r="49" spans="1:13" ht="14" x14ac:dyDescent="0.15">
      <c r="A49" s="46" t="s">
        <v>280</v>
      </c>
      <c r="B49" s="2">
        <f t="shared" si="0"/>
        <v>2.4981140620081836</v>
      </c>
      <c r="C49" s="2">
        <f ca="1">IFERROR(__xludf.DUMMYFUNCTION("IFERROR(STDEV.S(FILTER(H57:L57, H57:L57&lt;&gt;"""")))"),0.0474112648509031)</f>
        <v>4.74112648509031E-2</v>
      </c>
      <c r="D49" s="47">
        <v>1.8978823089999999E-2</v>
      </c>
      <c r="E49" s="32"/>
      <c r="F49" s="32">
        <v>87</v>
      </c>
      <c r="G49" s="6">
        <v>91139</v>
      </c>
      <c r="I49" s="6">
        <f t="shared" si="1"/>
        <v>2.464589235127479</v>
      </c>
      <c r="J49" s="6">
        <f t="shared" si="2"/>
        <v>2.5316388888888888</v>
      </c>
      <c r="K49" s="24"/>
      <c r="L49" s="24"/>
    </row>
    <row r="50" spans="1:13" ht="14" x14ac:dyDescent="0.15">
      <c r="A50" s="26" t="s">
        <v>58</v>
      </c>
      <c r="B50" s="2">
        <f t="shared" si="0"/>
        <v>0.73352195467422099</v>
      </c>
      <c r="C50" s="2">
        <f ca="1">IFERROR(__xludf.DUMMYFUNCTION("IFERROR(STDEV.S(FILTER(H58:L58, H58:L58&lt;&gt;"""")))"),0.00427368928516003)</f>
        <v>4.2736892851600299E-3</v>
      </c>
      <c r="D50" s="47">
        <v>5.8262595390000003E-3</v>
      </c>
      <c r="E50" s="32"/>
      <c r="F50" s="32">
        <v>26</v>
      </c>
      <c r="G50" s="6">
        <v>26298</v>
      </c>
      <c r="I50" s="6">
        <f t="shared" si="1"/>
        <v>0.73654390934844194</v>
      </c>
      <c r="J50" s="6">
        <f t="shared" si="2"/>
        <v>0.73050000000000004</v>
      </c>
      <c r="K50" s="24"/>
      <c r="L50" s="24"/>
    </row>
    <row r="51" spans="1:13" ht="14" x14ac:dyDescent="0.15">
      <c r="A51" s="26" t="s">
        <v>59</v>
      </c>
      <c r="B51" s="2">
        <f t="shared" si="0"/>
        <v>0.81458195624803276</v>
      </c>
      <c r="C51" s="2">
        <f ca="1">IFERROR(__xludf.DUMMYFUNCTION("IFERROR(STDEV.S(FILTER(H59:L59, H59:L59&lt;&gt;"""")))"),0.0498883642910088)</f>
        <v>4.9888364291008798E-2</v>
      </c>
      <c r="D51" s="47">
        <v>6.1244131309999998E-2</v>
      </c>
      <c r="E51" s="32"/>
      <c r="F51" s="32">
        <v>30</v>
      </c>
      <c r="G51" s="6">
        <v>28055</v>
      </c>
      <c r="I51" s="6">
        <f t="shared" si="1"/>
        <v>0.84985835694050993</v>
      </c>
      <c r="J51" s="6">
        <f t="shared" si="2"/>
        <v>0.77930555555555558</v>
      </c>
      <c r="K51" s="24"/>
      <c r="L51" s="24"/>
    </row>
    <row r="52" spans="1:13" ht="14" x14ac:dyDescent="0.15">
      <c r="A52" s="26" t="s">
        <v>61</v>
      </c>
      <c r="B52" s="2">
        <f t="shared" si="0"/>
        <v>0</v>
      </c>
      <c r="C52" s="2" t="str">
        <f ca="1">IFERROR(__xludf.DUMMYFUNCTION("IFERROR(STDEV.S(FILTER(H60:L60, H60:L60&lt;&gt;"""")))"),"")</f>
        <v/>
      </c>
      <c r="D52" s="47" t="s">
        <v>277</v>
      </c>
      <c r="E52" s="32"/>
      <c r="F52" s="32">
        <v>0</v>
      </c>
      <c r="G52" s="6"/>
      <c r="I52" s="6">
        <f t="shared" si="1"/>
        <v>0</v>
      </c>
      <c r="J52" s="6" t="str">
        <f t="shared" si="2"/>
        <v/>
      </c>
      <c r="K52" s="24"/>
      <c r="L52" s="24"/>
    </row>
    <row r="53" spans="1:13" ht="14" x14ac:dyDescent="0.15">
      <c r="A53" s="26" t="s">
        <v>62</v>
      </c>
      <c r="B53" s="2">
        <f t="shared" si="0"/>
        <v>7.9798709474346863E-2</v>
      </c>
      <c r="C53" s="2">
        <f ca="1">IFERROR(__xludf.DUMMYFUNCTION("IFERROR(STDEV.S(FILTER(H61:L61, H61:L61&lt;&gt;"""")))"),0.0922237797348258)</f>
        <v>9.2223779734825803E-2</v>
      </c>
      <c r="D53" s="47">
        <v>1.155705153</v>
      </c>
      <c r="E53" s="32"/>
      <c r="F53" s="32">
        <v>5.8</v>
      </c>
      <c r="G53" s="6">
        <v>5576</v>
      </c>
      <c r="I53" s="6">
        <f t="shared" si="1"/>
        <v>0.1643059490084986</v>
      </c>
      <c r="J53" s="6">
        <f t="shared" si="2"/>
        <v>0.15488888888888888</v>
      </c>
      <c r="K53" s="24">
        <v>0</v>
      </c>
      <c r="L53" s="24">
        <v>0</v>
      </c>
    </row>
    <row r="54" spans="1:13" ht="28" x14ac:dyDescent="0.15">
      <c r="A54" s="46" t="s">
        <v>278</v>
      </c>
      <c r="B54" s="2">
        <f t="shared" si="0"/>
        <v>3.0555555555555555E-4</v>
      </c>
      <c r="C54" s="2" t="str">
        <f ca="1">IFERROR(__xludf.DUMMYFUNCTION("IFERROR(STDEV.S(FILTER(H62:L62, H62:L62&lt;&gt;"""")))"),"")</f>
        <v/>
      </c>
      <c r="D54" s="47">
        <v>0</v>
      </c>
      <c r="E54" s="32"/>
      <c r="F54" s="32"/>
      <c r="G54" s="6">
        <v>11</v>
      </c>
      <c r="I54" s="6" t="str">
        <f t="shared" si="1"/>
        <v/>
      </c>
      <c r="J54" s="6">
        <f t="shared" si="2"/>
        <v>3.0555555555555555E-4</v>
      </c>
      <c r="K54" s="24"/>
      <c r="L54" s="24"/>
    </row>
    <row r="55" spans="1:13" ht="14" x14ac:dyDescent="0.15">
      <c r="A55" s="26" t="s">
        <v>63</v>
      </c>
      <c r="B55" s="2">
        <f t="shared" si="0"/>
        <v>1.3516523056342462</v>
      </c>
      <c r="C55" s="2">
        <f ca="1">IFERROR(__xludf.DUMMYFUNCTION("IFERROR(STDEV.S(FILTER(H63:L63, H63:L63&lt;&gt;"""")))"),0.477632507454618)</f>
        <v>0.47763250745461799</v>
      </c>
      <c r="D55" s="47">
        <v>0.35336935800000002</v>
      </c>
      <c r="E55" s="32"/>
      <c r="F55" s="32">
        <v>71</v>
      </c>
      <c r="G55" s="6">
        <v>50230</v>
      </c>
      <c r="I55" s="6">
        <f t="shared" si="1"/>
        <v>2.011331444759207</v>
      </c>
      <c r="J55" s="6">
        <f t="shared" si="2"/>
        <v>1.3952777777777778</v>
      </c>
      <c r="K55" s="24">
        <v>1</v>
      </c>
      <c r="L55" s="24">
        <v>1</v>
      </c>
    </row>
    <row r="56" spans="1:13" ht="14" x14ac:dyDescent="0.15">
      <c r="A56" s="26" t="s">
        <v>64</v>
      </c>
      <c r="B56" s="2">
        <f t="shared" si="0"/>
        <v>0</v>
      </c>
      <c r="C56" s="2" t="str">
        <f ca="1">IFERROR(__xludf.DUMMYFUNCTION("IFERROR(STDEV.S(FILTER(H64:L64, H64:L64&lt;&gt;"""")))"),"")</f>
        <v/>
      </c>
      <c r="D56" s="47" t="s">
        <v>277</v>
      </c>
      <c r="E56" s="32"/>
      <c r="F56" s="32">
        <v>0</v>
      </c>
      <c r="G56" s="27"/>
      <c r="I56" s="6">
        <f t="shared" si="1"/>
        <v>0</v>
      </c>
      <c r="J56" s="6" t="str">
        <f t="shared" si="2"/>
        <v/>
      </c>
      <c r="K56" s="24"/>
      <c r="L56" s="24"/>
      <c r="M56" s="6"/>
    </row>
    <row r="57" spans="1:13" ht="14" x14ac:dyDescent="0.15">
      <c r="A57" s="26" t="s">
        <v>65</v>
      </c>
      <c r="B57" s="2">
        <f t="shared" si="0"/>
        <v>0</v>
      </c>
      <c r="C57" s="2" t="str">
        <f ca="1">IFERROR(__xludf.DUMMYFUNCTION("IFERROR(STDEV.S(FILTER(H65:L65, H65:L65&lt;&gt;"""")))"),"")</f>
        <v/>
      </c>
      <c r="D57" s="47" t="s">
        <v>277</v>
      </c>
      <c r="E57" s="32"/>
      <c r="F57" s="32">
        <v>0</v>
      </c>
      <c r="G57" s="27"/>
      <c r="I57" s="6">
        <f t="shared" si="1"/>
        <v>0</v>
      </c>
      <c r="J57" s="6" t="str">
        <f t="shared" si="2"/>
        <v/>
      </c>
      <c r="K57" s="24"/>
      <c r="L57" s="24"/>
      <c r="M57" s="6"/>
    </row>
    <row r="58" spans="1:13" ht="28" x14ac:dyDescent="0.15">
      <c r="A58" s="46" t="s">
        <v>279</v>
      </c>
      <c r="B58" s="2">
        <f t="shared" si="0"/>
        <v>0</v>
      </c>
      <c r="C58" s="2" t="str">
        <f ca="1">IFERROR(__xludf.DUMMYFUNCTION("IFERROR(STDEV.S(FILTER(H66:L66, H66:L66&lt;&gt;"""")))"),"")</f>
        <v/>
      </c>
      <c r="D58" s="47" t="s">
        <v>277</v>
      </c>
      <c r="E58" s="32"/>
      <c r="F58" s="32">
        <v>0</v>
      </c>
      <c r="G58" s="27"/>
      <c r="I58" s="6">
        <f t="shared" si="1"/>
        <v>0</v>
      </c>
      <c r="J58" s="6" t="str">
        <f t="shared" si="2"/>
        <v/>
      </c>
      <c r="K58" s="24"/>
      <c r="L58" s="24"/>
      <c r="M58" s="6"/>
    </row>
    <row r="59" spans="1:13" ht="14" x14ac:dyDescent="0.15">
      <c r="A59" s="26" t="s">
        <v>66</v>
      </c>
      <c r="B59" s="2">
        <f t="shared" si="0"/>
        <v>0.33326805949008498</v>
      </c>
      <c r="C59" s="2">
        <f ca="1">IFERROR(__xludf.DUMMYFUNCTION("IFERROR(STDEV.S(FILTER(H67:L67, H67:L67&lt;&gt;"""")))"),0.070685138142847)</f>
        <v>7.0685138142847007E-2</v>
      </c>
      <c r="D59" s="47">
        <v>0.2120969476</v>
      </c>
      <c r="E59" s="32"/>
      <c r="F59" s="32">
        <v>10</v>
      </c>
      <c r="G59" s="27">
        <v>13797</v>
      </c>
      <c r="I59" s="6">
        <f t="shared" si="1"/>
        <v>0.28328611898016998</v>
      </c>
      <c r="J59" s="6">
        <f t="shared" si="2"/>
        <v>0.38324999999999998</v>
      </c>
      <c r="K59" s="24"/>
      <c r="L59" s="24"/>
      <c r="M59" s="6"/>
    </row>
    <row r="60" spans="1:13" ht="14" x14ac:dyDescent="0.15">
      <c r="A60" s="26" t="s">
        <v>67</v>
      </c>
      <c r="B60" s="2">
        <f t="shared" si="0"/>
        <v>63.895287928863709</v>
      </c>
      <c r="C60" s="2">
        <f ca="1">IFERROR(__xludf.DUMMYFUNCTION("IFERROR(STDEV.S(FILTER(H68:L68, H68:L68&lt;&gt;"""")))"),5.34616184529155)</f>
        <v>5.34616184529155</v>
      </c>
      <c r="D60" s="47">
        <v>8.3670674609999995E-2</v>
      </c>
      <c r="E60" s="32"/>
      <c r="F60" s="32">
        <v>2019</v>
      </c>
      <c r="G60" s="27">
        <v>2314115</v>
      </c>
      <c r="I60" s="6">
        <f t="shared" si="1"/>
        <v>57.195467422096321</v>
      </c>
      <c r="J60" s="6">
        <f t="shared" si="2"/>
        <v>64.280972222222218</v>
      </c>
      <c r="K60" s="24">
        <v>68</v>
      </c>
      <c r="L60" s="24">
        <v>60</v>
      </c>
      <c r="M60" s="6">
        <v>70</v>
      </c>
    </row>
    <row r="61" spans="1:13" ht="14" x14ac:dyDescent="0.15">
      <c r="A61" s="1" t="s">
        <v>68</v>
      </c>
      <c r="B61" s="2">
        <f t="shared" si="0"/>
        <v>0</v>
      </c>
      <c r="C61" s="2" t="str">
        <f ca="1">IFERROR(__xludf.DUMMYFUNCTION("IFERROR(STDEV.S(FILTER(H69:L69, H69:L69&lt;&gt;"""")))"),"")</f>
        <v/>
      </c>
      <c r="D61" s="47" t="s">
        <v>277</v>
      </c>
      <c r="E61" s="32"/>
      <c r="F61" s="32">
        <v>0</v>
      </c>
      <c r="G61" s="27"/>
      <c r="I61" s="6">
        <f t="shared" si="1"/>
        <v>0</v>
      </c>
      <c r="J61" s="6" t="str">
        <f t="shared" si="2"/>
        <v/>
      </c>
      <c r="K61" s="24"/>
      <c r="L61" s="24"/>
      <c r="M61" s="6"/>
    </row>
    <row r="62" spans="1:13" ht="14" x14ac:dyDescent="0.15">
      <c r="A62" s="50" t="s">
        <v>282</v>
      </c>
      <c r="B62" s="2">
        <f t="shared" si="0"/>
        <v>6.0056657223796037</v>
      </c>
      <c r="C62" s="2" t="str">
        <f ca="1">IFERROR(__xludf.DUMMYFUNCTION("IFERROR(STDEV.S(FILTER(H70:L70, H70:L70&lt;&gt;"""")))"),"")</f>
        <v/>
      </c>
      <c r="D62" s="47">
        <v>0</v>
      </c>
      <c r="E62" s="32"/>
      <c r="F62" s="32">
        <v>212</v>
      </c>
      <c r="G62" s="27"/>
      <c r="I62" s="6">
        <f t="shared" si="1"/>
        <v>6.0056657223796037</v>
      </c>
      <c r="J62" s="6" t="str">
        <f t="shared" si="2"/>
        <v/>
      </c>
      <c r="K62" s="24"/>
      <c r="L62" s="24"/>
      <c r="M62" s="6"/>
    </row>
    <row r="63" spans="1:13" ht="14" x14ac:dyDescent="0.15">
      <c r="A63" s="1" t="s">
        <v>69</v>
      </c>
      <c r="B63" s="2">
        <f t="shared" si="0"/>
        <v>0</v>
      </c>
      <c r="C63" s="2" t="str">
        <f ca="1">IFERROR(__xludf.DUMMYFUNCTION("IFERROR(STDEV.S(FILTER(H71:L71, H71:L71&lt;&gt;"""")))"),"")</f>
        <v/>
      </c>
      <c r="D63" s="47" t="s">
        <v>277</v>
      </c>
      <c r="E63" s="32"/>
      <c r="F63" s="32">
        <v>0</v>
      </c>
      <c r="G63" s="27"/>
      <c r="I63" s="6">
        <f t="shared" si="1"/>
        <v>0</v>
      </c>
      <c r="J63" s="6" t="str">
        <f t="shared" si="2"/>
        <v/>
      </c>
      <c r="K63" s="24"/>
      <c r="L63" s="24"/>
      <c r="M63" s="6"/>
    </row>
    <row r="64" spans="1:13" ht="14" x14ac:dyDescent="0.15">
      <c r="A64" s="1" t="s">
        <v>70</v>
      </c>
      <c r="B64" s="2">
        <f t="shared" si="0"/>
        <v>0</v>
      </c>
      <c r="C64" s="2" t="str">
        <f ca="1">IFERROR(__xludf.DUMMYFUNCTION("IFERROR(STDEV.S(FILTER(H72:L72, H72:L72&lt;&gt;"""")))"),"")</f>
        <v/>
      </c>
      <c r="D64" s="47" t="s">
        <v>277</v>
      </c>
      <c r="E64" s="32"/>
      <c r="F64" s="32">
        <v>0</v>
      </c>
      <c r="G64" s="27"/>
      <c r="I64" s="6">
        <f t="shared" si="1"/>
        <v>0</v>
      </c>
      <c r="J64" s="6" t="str">
        <f t="shared" si="2"/>
        <v/>
      </c>
      <c r="K64" s="24"/>
      <c r="L64" s="24"/>
      <c r="M64" s="6"/>
    </row>
    <row r="65" spans="1:13" ht="14" x14ac:dyDescent="0.15">
      <c r="A65" s="50" t="s">
        <v>283</v>
      </c>
      <c r="B65" s="2">
        <f t="shared" si="0"/>
        <v>0</v>
      </c>
      <c r="C65" s="2" t="str">
        <f ca="1">IFERROR(__xludf.DUMMYFUNCTION("IFERROR(STDEV.S(FILTER(H73:L73, H73:L73&lt;&gt;"""")))"),"")</f>
        <v/>
      </c>
      <c r="D65" s="47" t="s">
        <v>277</v>
      </c>
      <c r="E65" s="32"/>
      <c r="F65" s="32">
        <v>0</v>
      </c>
      <c r="G65" s="27"/>
      <c r="I65" s="6">
        <f t="shared" si="1"/>
        <v>0</v>
      </c>
      <c r="J65" s="6" t="str">
        <f t="shared" si="2"/>
        <v/>
      </c>
      <c r="K65" s="24"/>
      <c r="L65" s="24"/>
      <c r="M65" s="6"/>
    </row>
    <row r="66" spans="1:13" ht="14" x14ac:dyDescent="0.15">
      <c r="A66" s="1" t="s">
        <v>71</v>
      </c>
      <c r="B66" s="2">
        <f t="shared" si="0"/>
        <v>0</v>
      </c>
      <c r="C66" s="2" t="str">
        <f ca="1">IFERROR(__xludf.DUMMYFUNCTION("IFERROR(STDEV.S(FILTER(H74:L74, H74:L74&lt;&gt;"""")))"),"")</f>
        <v/>
      </c>
      <c r="D66" s="47" t="s">
        <v>277</v>
      </c>
      <c r="E66" s="32"/>
      <c r="F66" s="32">
        <v>0</v>
      </c>
      <c r="G66" s="27"/>
      <c r="I66" s="6">
        <f t="shared" si="1"/>
        <v>0</v>
      </c>
      <c r="J66" s="6" t="str">
        <f t="shared" si="2"/>
        <v/>
      </c>
      <c r="K66" s="24"/>
      <c r="L66" s="24"/>
      <c r="M66" s="6"/>
    </row>
    <row r="67" spans="1:13" ht="28" x14ac:dyDescent="0.15">
      <c r="A67" s="26" t="s">
        <v>72</v>
      </c>
      <c r="B67" s="2">
        <f t="shared" si="0"/>
        <v>0</v>
      </c>
      <c r="C67" s="2" t="str">
        <f ca="1">IFERROR(__xludf.DUMMYFUNCTION("IFERROR(STDEV.S(FILTER(H78:L78, H78:L78&lt;&gt;"""")))"),"")</f>
        <v/>
      </c>
      <c r="D67" s="47" t="s">
        <v>277</v>
      </c>
      <c r="E67" s="32"/>
      <c r="F67" s="32">
        <v>0</v>
      </c>
      <c r="G67" s="6"/>
      <c r="I67" s="6">
        <f t="shared" si="1"/>
        <v>0</v>
      </c>
      <c r="J67" s="6" t="str">
        <f t="shared" si="2"/>
        <v/>
      </c>
      <c r="K67" s="24"/>
      <c r="L67" s="24"/>
    </row>
    <row r="68" spans="1:13" ht="14" x14ac:dyDescent="0.15">
      <c r="A68" s="26" t="s">
        <v>74</v>
      </c>
      <c r="B68" s="2">
        <f t="shared" si="0"/>
        <v>0</v>
      </c>
      <c r="C68" s="2" t="str">
        <f ca="1">IFERROR(__xludf.DUMMYFUNCTION("IFERROR(STDEV.S(FILTER(H80:L80, H80:L80&lt;&gt;"""")))"),"")</f>
        <v/>
      </c>
      <c r="D68" s="47" t="s">
        <v>277</v>
      </c>
      <c r="E68" s="32"/>
      <c r="F68" s="32">
        <v>0</v>
      </c>
      <c r="G68" s="6"/>
      <c r="I68" s="6">
        <f t="shared" si="1"/>
        <v>0</v>
      </c>
      <c r="J68" s="6" t="str">
        <f t="shared" si="2"/>
        <v/>
      </c>
      <c r="K68" s="24"/>
      <c r="L68" s="24"/>
    </row>
    <row r="69" spans="1:13" ht="14" x14ac:dyDescent="0.15">
      <c r="A69" s="26" t="s">
        <v>75</v>
      </c>
      <c r="B69" s="2">
        <f t="shared" si="0"/>
        <v>0</v>
      </c>
      <c r="C69" s="2" t="str">
        <f ca="1">IFERROR(__xludf.DUMMYFUNCTION("IFERROR(STDEV.S(FILTER(H81:L81, H81:L81&lt;&gt;"""")))"),"")</f>
        <v/>
      </c>
      <c r="D69" s="47" t="s">
        <v>277</v>
      </c>
      <c r="E69" s="32"/>
      <c r="F69" s="32">
        <v>0</v>
      </c>
      <c r="G69" s="6"/>
      <c r="I69" s="6">
        <f t="shared" si="1"/>
        <v>0</v>
      </c>
      <c r="J69" s="6" t="str">
        <f t="shared" si="2"/>
        <v/>
      </c>
      <c r="K69" s="24"/>
      <c r="L69" s="24"/>
    </row>
    <row r="70" spans="1:13" ht="14" x14ac:dyDescent="0.15">
      <c r="A70" s="26" t="s">
        <v>76</v>
      </c>
      <c r="B70" s="2">
        <f t="shared" si="0"/>
        <v>8.8534584513692179E-3</v>
      </c>
      <c r="C70" s="2">
        <f ca="1">IFERROR(__xludf.DUMMYFUNCTION("IFERROR(STDEV.S(FILTER(H82:L82, H82:L82&lt;&gt;"""")))"),0.0102395051256603)</f>
        <v>1.0239505125660299E-2</v>
      </c>
      <c r="D70" s="47">
        <v>1.1565542639999999</v>
      </c>
      <c r="E70" s="32"/>
      <c r="F70" s="32">
        <v>0.6</v>
      </c>
      <c r="G70" s="6">
        <v>663</v>
      </c>
      <c r="I70" s="6">
        <f t="shared" si="1"/>
        <v>1.69971671388102E-2</v>
      </c>
      <c r="J70" s="6">
        <f t="shared" si="2"/>
        <v>1.8416666666666668E-2</v>
      </c>
      <c r="K70" s="24">
        <v>0</v>
      </c>
      <c r="L70" s="24">
        <v>0</v>
      </c>
    </row>
    <row r="71" spans="1:13" ht="28" x14ac:dyDescent="0.15">
      <c r="A71" s="26" t="s">
        <v>78</v>
      </c>
      <c r="B71" s="2">
        <f t="shared" si="0"/>
        <v>0</v>
      </c>
      <c r="C71" s="2" t="str">
        <f ca="1">IFERROR(__xludf.DUMMYFUNCTION("IFERROR(STDEV.S(FILTER(H84:L84, H84:L84&lt;&gt;"""")))"),"")</f>
        <v/>
      </c>
      <c r="D71" s="47" t="s">
        <v>277</v>
      </c>
      <c r="E71" s="32"/>
      <c r="F71" s="32">
        <v>0</v>
      </c>
      <c r="G71" s="6"/>
      <c r="I71" s="6">
        <f t="shared" si="1"/>
        <v>0</v>
      </c>
      <c r="J71" s="6" t="str">
        <f t="shared" si="2"/>
        <v/>
      </c>
      <c r="K71" s="24"/>
      <c r="L71" s="24"/>
    </row>
    <row r="72" spans="1:13" ht="14" x14ac:dyDescent="0.15">
      <c r="A72" s="26" t="s">
        <v>79</v>
      </c>
      <c r="B72" s="2">
        <f t="shared" si="0"/>
        <v>0.44479556185080271</v>
      </c>
      <c r="C72" s="2">
        <f ca="1">IFERROR(__xludf.DUMMYFUNCTION("IFERROR(STDEV.S(FILTER(H85:L85, H85:L85&lt;&gt;"""")))"),0.0119673983373055)</f>
        <v>1.19673983373055E-2</v>
      </c>
      <c r="D72" s="47">
        <v>2.6905390620000001E-2</v>
      </c>
      <c r="E72" s="32"/>
      <c r="F72" s="32">
        <v>16</v>
      </c>
      <c r="G72" s="6">
        <v>15708</v>
      </c>
      <c r="I72" s="6">
        <f t="shared" si="1"/>
        <v>0.45325779036827202</v>
      </c>
      <c r="J72" s="6">
        <f t="shared" si="2"/>
        <v>0.43633333333333335</v>
      </c>
      <c r="K72" s="24"/>
      <c r="L72" s="24"/>
    </row>
    <row r="73" spans="1:13" ht="14" x14ac:dyDescent="0.15">
      <c r="A73" s="26" t="s">
        <v>80</v>
      </c>
      <c r="B73" s="2">
        <f t="shared" si="0"/>
        <v>0</v>
      </c>
      <c r="C73" s="2" t="str">
        <f ca="1">IFERROR(__xludf.DUMMYFUNCTION("IFERROR(STDEV.S(FILTER(H86:L86, H86:L86&lt;&gt;"""")))"),"")</f>
        <v/>
      </c>
      <c r="D73" s="47" t="s">
        <v>277</v>
      </c>
      <c r="E73" s="32"/>
      <c r="F73" s="32">
        <v>0</v>
      </c>
      <c r="G73" s="6"/>
      <c r="I73" s="6">
        <f t="shared" si="1"/>
        <v>0</v>
      </c>
      <c r="J73" s="6" t="str">
        <f t="shared" si="2"/>
        <v/>
      </c>
      <c r="K73" s="24"/>
      <c r="L73" s="24"/>
    </row>
    <row r="74" spans="1:13" ht="14" x14ac:dyDescent="0.15">
      <c r="A74" s="26" t="s">
        <v>81</v>
      </c>
      <c r="B74" s="2">
        <f t="shared" si="0"/>
        <v>1.2957389046270067E-2</v>
      </c>
      <c r="C74" s="2">
        <f ca="1">IFERROR(__xludf.DUMMYFUNCTION("IFERROR(STDEV.S(FILTER(H87:L87, H87:L87&lt;&gt;"""")))"),0.00229943246242792)</f>
        <v>2.2994324624279199E-3</v>
      </c>
      <c r="D74" s="47">
        <v>0.17746109609999999</v>
      </c>
      <c r="E74" s="32"/>
      <c r="F74" s="32">
        <v>0.4</v>
      </c>
      <c r="G74" s="6">
        <v>525</v>
      </c>
      <c r="I74" s="6">
        <f t="shared" si="1"/>
        <v>1.1331444759206801E-2</v>
      </c>
      <c r="J74" s="6">
        <f t="shared" si="2"/>
        <v>1.4583333333333334E-2</v>
      </c>
      <c r="K74" s="24"/>
      <c r="L74" s="24"/>
    </row>
    <row r="75" spans="1:13" ht="14" x14ac:dyDescent="0.15">
      <c r="A75" s="26" t="s">
        <v>82</v>
      </c>
      <c r="B75" s="2">
        <f t="shared" si="0"/>
        <v>4.2309235717658167</v>
      </c>
      <c r="C75" s="2">
        <f ca="1">IFERROR(__xludf.DUMMYFUNCTION("IFERROR(STDEV.S(FILTER(H88:L88, H88:L88&lt;&gt;"""")))"),0.596382823674188)</f>
        <v>0.59638282367418805</v>
      </c>
      <c r="D75" s="47">
        <v>0.14095807060000001</v>
      </c>
      <c r="E75" s="32"/>
      <c r="F75" s="32">
        <v>153</v>
      </c>
      <c r="G75" s="6">
        <v>129219</v>
      </c>
      <c r="I75" s="6">
        <f t="shared" si="1"/>
        <v>4.3342776203966009</v>
      </c>
      <c r="J75" s="6">
        <f t="shared" si="2"/>
        <v>3.5894166666666667</v>
      </c>
      <c r="K75" s="24">
        <v>5</v>
      </c>
      <c r="L75" s="24">
        <v>4</v>
      </c>
    </row>
    <row r="76" spans="1:13" ht="14" x14ac:dyDescent="0.15">
      <c r="A76" s="26" t="s">
        <v>83</v>
      </c>
      <c r="B76" s="2">
        <f t="shared" si="0"/>
        <v>1.7236708766131572</v>
      </c>
      <c r="C76" s="2">
        <f ca="1">IFERROR(__xludf.DUMMYFUNCTION("IFERROR(STDEV.S(FILTER(H89:L89, H89:L89&lt;&gt;"""")))"),1.96925905565789)</f>
        <v>1.9692590556578899</v>
      </c>
      <c r="D76" s="47">
        <v>1.14247974</v>
      </c>
      <c r="E76" s="32"/>
      <c r="F76" s="32">
        <v>110</v>
      </c>
      <c r="G76" s="27">
        <v>11923</v>
      </c>
      <c r="I76" s="6">
        <f t="shared" si="1"/>
        <v>3.1161473087818701</v>
      </c>
      <c r="J76" s="6">
        <f t="shared" si="2"/>
        <v>0.33119444444444446</v>
      </c>
      <c r="K76" s="24"/>
      <c r="L76" s="24"/>
      <c r="M76" s="6"/>
    </row>
    <row r="77" spans="1:13" ht="14" x14ac:dyDescent="0.15">
      <c r="A77" s="26" t="s">
        <v>84</v>
      </c>
      <c r="B77" s="2">
        <f t="shared" si="0"/>
        <v>0</v>
      </c>
      <c r="C77" s="2" t="str">
        <f ca="1">IFERROR(__xludf.DUMMYFUNCTION("IFERROR(STDEV.S(FILTER(H90:L90, H90:L90&lt;&gt;"""")))"),"")</f>
        <v/>
      </c>
      <c r="D77" s="47" t="s">
        <v>277</v>
      </c>
      <c r="E77" s="32"/>
      <c r="F77" s="32">
        <v>0</v>
      </c>
      <c r="G77" s="27"/>
      <c r="I77" s="6">
        <f t="shared" si="1"/>
        <v>0</v>
      </c>
      <c r="J77" s="6" t="str">
        <f t="shared" si="2"/>
        <v/>
      </c>
      <c r="K77" s="24"/>
      <c r="L77" s="24"/>
      <c r="M77" s="6"/>
    </row>
    <row r="78" spans="1:13" ht="14" x14ac:dyDescent="0.15">
      <c r="A78" s="26" t="s">
        <v>85</v>
      </c>
      <c r="B78" s="2">
        <f t="shared" si="0"/>
        <v>2.3611111111111111E-3</v>
      </c>
      <c r="C78" s="2" t="str">
        <f ca="1">IFERROR(__xludf.DUMMYFUNCTION("IFERROR(STDEV.S(FILTER(H91:L91, H91:L91&lt;&gt;"""")))"),"")</f>
        <v/>
      </c>
      <c r="D78" s="47">
        <v>0</v>
      </c>
      <c r="E78" s="32"/>
      <c r="F78" s="32"/>
      <c r="G78" s="27">
        <v>85</v>
      </c>
      <c r="I78" s="6" t="str">
        <f t="shared" si="1"/>
        <v/>
      </c>
      <c r="J78" s="6">
        <f t="shared" si="2"/>
        <v>2.3611111111111111E-3</v>
      </c>
      <c r="K78" s="24"/>
      <c r="L78" s="24"/>
      <c r="M78" s="6"/>
    </row>
    <row r="79" spans="1:13" ht="14" x14ac:dyDescent="0.15">
      <c r="A79" s="26" t="s">
        <v>86</v>
      </c>
      <c r="B79" s="2">
        <f t="shared" si="0"/>
        <v>0</v>
      </c>
      <c r="C79" s="2" t="str">
        <f ca="1">IFERROR(__xludf.DUMMYFUNCTION("IFERROR(STDEV.S(FILTER(H93:L93, H93:L93&lt;&gt;"""")))"),"")</f>
        <v/>
      </c>
      <c r="D79" s="47" t="s">
        <v>277</v>
      </c>
      <c r="E79" s="32"/>
      <c r="F79" s="32">
        <v>0</v>
      </c>
      <c r="G79" s="27"/>
      <c r="I79" s="6">
        <f t="shared" si="1"/>
        <v>0</v>
      </c>
      <c r="J79" s="6" t="str">
        <f t="shared" si="2"/>
        <v/>
      </c>
      <c r="K79" s="24"/>
      <c r="L79" s="24"/>
      <c r="M79" s="6"/>
    </row>
    <row r="80" spans="1:13" ht="14" x14ac:dyDescent="0.15">
      <c r="A80" s="26" t="s">
        <v>87</v>
      </c>
      <c r="B80" s="2">
        <f t="shared" si="0"/>
        <v>0</v>
      </c>
      <c r="C80" s="2" t="str">
        <f ca="1">IFERROR(__xludf.DUMMYFUNCTION("IFERROR(STDEV.S(FILTER(H95:L95, H95:L95&lt;&gt;"""")))"),"")</f>
        <v/>
      </c>
      <c r="D80" s="47" t="s">
        <v>277</v>
      </c>
      <c r="E80" s="32"/>
      <c r="F80" s="32">
        <v>0</v>
      </c>
      <c r="G80" s="27"/>
      <c r="I80" s="6">
        <f t="shared" si="1"/>
        <v>0</v>
      </c>
      <c r="J80" s="6" t="str">
        <f t="shared" si="2"/>
        <v/>
      </c>
      <c r="K80" s="24"/>
      <c r="L80" s="24"/>
      <c r="M80" s="6"/>
    </row>
    <row r="81" spans="1:13" ht="14" x14ac:dyDescent="0.15">
      <c r="A81" s="26" t="s">
        <v>88</v>
      </c>
      <c r="B81" s="2">
        <f t="shared" si="0"/>
        <v>2.0555555555555557E-3</v>
      </c>
      <c r="C81" s="2" t="str">
        <f ca="1">IFERROR(__xludf.DUMMYFUNCTION("IFERROR(STDEV.S(FILTER(H96:L96, H96:L96&lt;&gt;"""")))"),"")</f>
        <v/>
      </c>
      <c r="D81" s="47">
        <v>0</v>
      </c>
      <c r="E81" s="32"/>
      <c r="F81" s="32"/>
      <c r="G81" s="27">
        <v>74</v>
      </c>
      <c r="I81" s="6" t="str">
        <f t="shared" si="1"/>
        <v/>
      </c>
      <c r="J81" s="6">
        <f t="shared" si="2"/>
        <v>2.0555555555555557E-3</v>
      </c>
      <c r="K81" s="24"/>
      <c r="L81" s="24"/>
      <c r="M81" s="6"/>
    </row>
    <row r="82" spans="1:13" ht="14" x14ac:dyDescent="0.15">
      <c r="A82" s="26" t="s">
        <v>89</v>
      </c>
      <c r="B82" s="2">
        <f t="shared" si="0"/>
        <v>0</v>
      </c>
      <c r="C82" s="2" t="str">
        <f ca="1">IFERROR(__xludf.DUMMYFUNCTION("IFERROR(STDEV.S(FILTER(H97:L97, H97:L97&lt;&gt;"""")))"),"")</f>
        <v/>
      </c>
      <c r="D82" s="47" t="s">
        <v>277</v>
      </c>
      <c r="E82" s="32"/>
      <c r="F82" s="32">
        <v>0</v>
      </c>
      <c r="G82" s="27"/>
      <c r="I82" s="6">
        <f t="shared" si="1"/>
        <v>0</v>
      </c>
      <c r="J82" s="6" t="str">
        <f t="shared" si="2"/>
        <v/>
      </c>
      <c r="K82" s="24"/>
      <c r="L82" s="24"/>
      <c r="M82" s="6"/>
    </row>
    <row r="83" spans="1:13" ht="14" x14ac:dyDescent="0.15">
      <c r="A83" s="26" t="s">
        <v>90</v>
      </c>
      <c r="B83" s="2">
        <f t="shared" si="0"/>
        <v>0</v>
      </c>
      <c r="C83" s="2" t="str">
        <f ca="1">IFERROR(__xludf.DUMMYFUNCTION("IFERROR(STDEV.S(FILTER(H98:L98, H98:L98&lt;&gt;"""")))"),"")</f>
        <v/>
      </c>
      <c r="D83" s="47" t="s">
        <v>277</v>
      </c>
      <c r="E83" s="32"/>
      <c r="F83" s="32">
        <v>0</v>
      </c>
      <c r="G83" s="27"/>
      <c r="I83" s="6">
        <f t="shared" si="1"/>
        <v>0</v>
      </c>
      <c r="J83" s="6" t="str">
        <f t="shared" si="2"/>
        <v/>
      </c>
      <c r="K83" s="24"/>
      <c r="L83" s="24"/>
      <c r="M83" s="6"/>
    </row>
    <row r="84" spans="1:13" ht="14" x14ac:dyDescent="0.15">
      <c r="A84" s="26" t="s">
        <v>91</v>
      </c>
      <c r="B84" s="2">
        <f t="shared" si="0"/>
        <v>0</v>
      </c>
      <c r="C84" s="2" t="str">
        <f ca="1">IFERROR(__xludf.DUMMYFUNCTION("IFERROR(STDEV.S(FILTER(H99:L99, H99:L99&lt;&gt;"""")))"),"")</f>
        <v/>
      </c>
      <c r="D84" s="47" t="s">
        <v>277</v>
      </c>
      <c r="E84" s="32"/>
      <c r="F84" s="32">
        <v>0</v>
      </c>
      <c r="G84" s="27"/>
      <c r="I84" s="6">
        <f t="shared" si="1"/>
        <v>0</v>
      </c>
      <c r="J84" s="6" t="str">
        <f t="shared" si="2"/>
        <v/>
      </c>
      <c r="K84" s="24"/>
      <c r="L84" s="24"/>
      <c r="M84" s="6"/>
    </row>
    <row r="85" spans="1:13" ht="14" x14ac:dyDescent="0.15">
      <c r="A85" s="26" t="s">
        <v>92</v>
      </c>
      <c r="B85" s="2">
        <f t="shared" si="0"/>
        <v>0</v>
      </c>
      <c r="C85" s="2" t="str">
        <f ca="1">IFERROR(__xludf.DUMMYFUNCTION("IFERROR(STDEV.S(FILTER(H100:L100, H100:L100&lt;&gt;"""")))"),"")</f>
        <v/>
      </c>
      <c r="D85" s="47" t="s">
        <v>277</v>
      </c>
      <c r="E85" s="32"/>
      <c r="F85" s="32">
        <v>0</v>
      </c>
      <c r="G85" s="27"/>
      <c r="I85" s="6">
        <f t="shared" si="1"/>
        <v>0</v>
      </c>
      <c r="J85" s="6" t="str">
        <f t="shared" si="2"/>
        <v/>
      </c>
      <c r="K85" s="24"/>
      <c r="L85" s="24"/>
      <c r="M85" s="6"/>
    </row>
    <row r="86" spans="1:13" ht="14" x14ac:dyDescent="0.15">
      <c r="A86" s="26" t="s">
        <v>93</v>
      </c>
      <c r="B86" s="2">
        <f t="shared" si="0"/>
        <v>0</v>
      </c>
      <c r="C86" s="2" t="str">
        <f ca="1">IFERROR(__xludf.DUMMYFUNCTION("IFERROR(STDEV.S(FILTER(H101:L101, H101:L101&lt;&gt;"""")))"),"")</f>
        <v/>
      </c>
      <c r="D86" s="47" t="s">
        <v>277</v>
      </c>
      <c r="E86" s="32"/>
      <c r="F86" s="32">
        <v>0</v>
      </c>
      <c r="G86" s="27"/>
      <c r="I86" s="6">
        <f t="shared" si="1"/>
        <v>0</v>
      </c>
      <c r="J86" s="6" t="str">
        <f t="shared" si="2"/>
        <v/>
      </c>
      <c r="K86" s="24"/>
      <c r="L86" s="24"/>
      <c r="M86" s="6"/>
    </row>
    <row r="87" spans="1:13" ht="14" x14ac:dyDescent="0.15">
      <c r="A87" s="26" t="s">
        <v>94</v>
      </c>
      <c r="B87" s="2">
        <f t="shared" si="0"/>
        <v>1.526657105760151</v>
      </c>
      <c r="C87" s="2">
        <f ca="1">IFERROR(__xludf.DUMMYFUNCTION("IFERROR(STDEV.S(FILTER(H103:L103, H103:L103&lt;&gt;"""")))"),0.124555123455367)</f>
        <v>0.124555123455367</v>
      </c>
      <c r="D87" s="47">
        <v>8.1586836349999997E-2</v>
      </c>
      <c r="E87" s="32"/>
      <c r="F87" s="32">
        <v>57</v>
      </c>
      <c r="G87" s="27">
        <v>51789</v>
      </c>
      <c r="I87" s="6">
        <f t="shared" si="1"/>
        <v>1.6147308781869689</v>
      </c>
      <c r="J87" s="6">
        <f t="shared" si="2"/>
        <v>1.4385833333333333</v>
      </c>
      <c r="K87" s="24"/>
      <c r="L87" s="24"/>
      <c r="M87" s="6"/>
    </row>
    <row r="88" spans="1:13" ht="14" x14ac:dyDescent="0.15">
      <c r="A88" s="26" t="s">
        <v>95</v>
      </c>
      <c r="B88" s="2">
        <f t="shared" si="0"/>
        <v>0</v>
      </c>
      <c r="C88" s="2" t="str">
        <f ca="1">IFERROR(__xludf.DUMMYFUNCTION("IFERROR(STDEV.S(FILTER(H104:L104, H104:L104&lt;&gt;"""")))"),"")</f>
        <v/>
      </c>
      <c r="D88" s="47" t="s">
        <v>277</v>
      </c>
      <c r="E88" s="32"/>
      <c r="F88" s="32">
        <v>0</v>
      </c>
      <c r="G88" s="27"/>
      <c r="I88" s="6">
        <f t="shared" si="1"/>
        <v>0</v>
      </c>
      <c r="J88" s="6" t="str">
        <f t="shared" si="2"/>
        <v/>
      </c>
      <c r="K88" s="24"/>
      <c r="L88" s="24"/>
      <c r="M88" s="6"/>
    </row>
    <row r="89" spans="1:13" ht="14" x14ac:dyDescent="0.15">
      <c r="A89" s="26" t="s">
        <v>96</v>
      </c>
      <c r="B89" s="2">
        <f t="shared" si="0"/>
        <v>35.001349417689639</v>
      </c>
      <c r="C89" s="2">
        <f ca="1">IFERROR(__xludf.DUMMYFUNCTION("IFERROR(STDEV.S(FILTER(H105:L105, H105:L105&lt;&gt;"""")))"),1.48112451594777)</f>
        <v>1.4811245159477699</v>
      </c>
      <c r="D89" s="47">
        <v>4.2316211819999998E-2</v>
      </c>
      <c r="E89" s="32"/>
      <c r="F89" s="32">
        <v>1242</v>
      </c>
      <c r="G89" s="27">
        <v>1181614</v>
      </c>
      <c r="I89" s="6">
        <f t="shared" si="1"/>
        <v>35.184135977337114</v>
      </c>
      <c r="J89" s="6">
        <f t="shared" si="2"/>
        <v>32.822611111111108</v>
      </c>
      <c r="K89" s="24">
        <v>35</v>
      </c>
      <c r="L89" s="24">
        <v>37</v>
      </c>
      <c r="M89" s="6">
        <v>35</v>
      </c>
    </row>
    <row r="90" spans="1:13" ht="14" x14ac:dyDescent="0.15">
      <c r="A90" s="26" t="s">
        <v>97</v>
      </c>
      <c r="B90" s="2">
        <f t="shared" si="0"/>
        <v>62.089053604028962</v>
      </c>
      <c r="C90" s="2">
        <f ca="1">IFERROR(__xludf.DUMMYFUNCTION("IFERROR(STDEV.S(FILTER(H106:L106, H106:L106&lt;&gt;"""")))"),5.45441346818473)</f>
        <v>5.4544134681847298</v>
      </c>
      <c r="D90" s="47">
        <v>8.7848230109999995E-2</v>
      </c>
      <c r="E90" s="32"/>
      <c r="F90" s="32">
        <v>2073</v>
      </c>
      <c r="G90" s="27">
        <v>2077922</v>
      </c>
      <c r="I90" s="6">
        <f t="shared" si="1"/>
        <v>58.725212464589241</v>
      </c>
      <c r="J90" s="6">
        <f t="shared" si="2"/>
        <v>57.720055555555554</v>
      </c>
      <c r="K90" s="24">
        <v>67</v>
      </c>
      <c r="L90" s="24">
        <v>69</v>
      </c>
      <c r="M90" s="6">
        <v>58</v>
      </c>
    </row>
    <row r="91" spans="1:13" ht="14" x14ac:dyDescent="0.15">
      <c r="A91" s="26" t="s">
        <v>98</v>
      </c>
      <c r="B91" s="2">
        <f t="shared" si="0"/>
        <v>276.77418677211205</v>
      </c>
      <c r="C91" s="2">
        <f ca="1">IFERROR(__xludf.DUMMYFUNCTION("IFERROR(STDEV.S(FILTER(H107:L107, H107:L107&lt;&gt;"""")))"),15.4168736522797)</f>
        <v>15.416873652279699</v>
      </c>
      <c r="D91" s="47">
        <v>5.5701992419999999E-2</v>
      </c>
      <c r="E91" s="32"/>
      <c r="F91" s="32">
        <v>9361</v>
      </c>
      <c r="G91" s="27">
        <v>9428854</v>
      </c>
      <c r="I91" s="6">
        <f t="shared" si="1"/>
        <v>265.18413597733712</v>
      </c>
      <c r="J91" s="6">
        <f t="shared" si="2"/>
        <v>261.91261111111112</v>
      </c>
      <c r="K91" s="24">
        <v>288</v>
      </c>
      <c r="L91" s="24">
        <v>292</v>
      </c>
    </row>
    <row r="92" spans="1:13" ht="14" x14ac:dyDescent="0.15">
      <c r="A92" s="26" t="s">
        <v>99</v>
      </c>
      <c r="B92" s="2">
        <f t="shared" si="0"/>
        <v>9.9526079241422725</v>
      </c>
      <c r="C92" s="2">
        <f ca="1">IFERROR(__xludf.DUMMYFUNCTION("IFERROR(STDEV.S(FILTER(H108:L108, H108:L108&lt;&gt;"""")))"),0.828213952265223)</f>
        <v>0.82821395226522299</v>
      </c>
      <c r="D92" s="47">
        <v>8.3215772039999997E-2</v>
      </c>
      <c r="E92" s="32"/>
      <c r="F92" s="32">
        <v>372</v>
      </c>
      <c r="G92" s="6">
        <v>337211</v>
      </c>
      <c r="I92" s="6">
        <f t="shared" si="1"/>
        <v>10.538243626062323</v>
      </c>
      <c r="J92" s="6">
        <f t="shared" si="2"/>
        <v>9.3669722222222216</v>
      </c>
      <c r="K92" s="24"/>
      <c r="L92" s="24"/>
    </row>
    <row r="93" spans="1:13" ht="14" x14ac:dyDescent="0.15">
      <c r="A93" s="26" t="s">
        <v>100</v>
      </c>
      <c r="B93" s="2">
        <f t="shared" si="0"/>
        <v>1.1232226550204596</v>
      </c>
      <c r="C93" s="2">
        <f ca="1">IFERROR(__xludf.DUMMYFUNCTION("IFERROR(STDEV.S(FILTER(H109:L109, H109:L109&lt;&gt;"""")))"),0.0540942808299079)</f>
        <v>5.4094280829907901E-2</v>
      </c>
      <c r="D93" s="47">
        <v>4.8159891169999997E-2</v>
      </c>
      <c r="E93" s="32"/>
      <c r="F93" s="32">
        <v>41</v>
      </c>
      <c r="G93" s="6">
        <v>39059</v>
      </c>
      <c r="I93" s="6">
        <f t="shared" si="1"/>
        <v>1.161473087818697</v>
      </c>
      <c r="J93" s="6">
        <f t="shared" si="2"/>
        <v>1.0849722222222222</v>
      </c>
      <c r="K93" s="24"/>
      <c r="L93" s="24"/>
    </row>
    <row r="94" spans="1:13" ht="14" x14ac:dyDescent="0.15">
      <c r="A94" s="26" t="s">
        <v>101</v>
      </c>
      <c r="B94" s="2">
        <f t="shared" si="0"/>
        <v>23.813372836008813</v>
      </c>
      <c r="C94" s="2">
        <f ca="1">IFERROR(__xludf.DUMMYFUNCTION("IFERROR(STDEV.S(FILTER(H110:L110, H110:L110&lt;&gt;"""")))"),0.536357075039344)</f>
        <v>0.53635707503934404</v>
      </c>
      <c r="D94" s="47">
        <v>2.2523356049999999E-2</v>
      </c>
      <c r="E94" s="32"/>
      <c r="F94" s="32">
        <v>854</v>
      </c>
      <c r="G94" s="6">
        <v>843628</v>
      </c>
      <c r="I94" s="6">
        <f t="shared" si="1"/>
        <v>24.192634560906516</v>
      </c>
      <c r="J94" s="6">
        <f t="shared" si="2"/>
        <v>23.434111111111111</v>
      </c>
      <c r="K94" s="24"/>
      <c r="L94" s="24"/>
    </row>
    <row r="95" spans="1:13" ht="14" x14ac:dyDescent="0.15">
      <c r="A95" s="26" t="s">
        <v>102</v>
      </c>
      <c r="B95" s="2">
        <f t="shared" si="0"/>
        <v>2.8431412692791942</v>
      </c>
      <c r="C95" s="2">
        <f ca="1">IFERROR(__xludf.DUMMYFUNCTION("IFERROR(STDEV.S(FILTER(H111:L111, H111:L111&lt;&gt;"""")))"),0.195439992360554)</f>
        <v>0.19543999236055401</v>
      </c>
      <c r="D95" s="47">
        <v>6.8740865770000006E-2</v>
      </c>
      <c r="E95" s="32"/>
      <c r="F95" s="32">
        <v>98</v>
      </c>
      <c r="G95" s="6">
        <v>93469</v>
      </c>
      <c r="I95" s="6">
        <f t="shared" si="1"/>
        <v>2.7762039660056659</v>
      </c>
      <c r="J95" s="6">
        <f t="shared" si="2"/>
        <v>2.5963611111111109</v>
      </c>
      <c r="K95" s="24">
        <v>3</v>
      </c>
      <c r="L95" s="24">
        <v>3</v>
      </c>
    </row>
    <row r="96" spans="1:13" ht="14" x14ac:dyDescent="0.15">
      <c r="A96" s="26" t="s">
        <v>103</v>
      </c>
      <c r="B96" s="2">
        <f t="shared" si="0"/>
        <v>0</v>
      </c>
      <c r="C96" s="2" t="str">
        <f ca="1">IFERROR(__xludf.DUMMYFUNCTION("IFERROR(STDEV.S(FILTER(H112:L112, H112:L112&lt;&gt;"""")))"),"")</f>
        <v/>
      </c>
      <c r="D96" s="47" t="s">
        <v>277</v>
      </c>
      <c r="E96" s="32"/>
      <c r="F96" s="32">
        <v>0</v>
      </c>
      <c r="G96" s="27"/>
      <c r="I96" s="6">
        <f t="shared" si="1"/>
        <v>0</v>
      </c>
      <c r="J96" s="6" t="str">
        <f t="shared" si="2"/>
        <v/>
      </c>
      <c r="K96" s="24"/>
      <c r="L96" s="24"/>
    </row>
    <row r="97" spans="1:13" ht="14" x14ac:dyDescent="0.15">
      <c r="A97" s="26" t="s">
        <v>104</v>
      </c>
      <c r="B97" s="2">
        <f t="shared" si="0"/>
        <v>3.511603694523135</v>
      </c>
      <c r="C97" s="2">
        <f ca="1">IFERROR(__xludf.DUMMYFUNCTION("IFERROR(STDEV.S(FILTER(H113:L113, H113:L113&lt;&gt;"""")))"),1.71867936943205)</f>
        <v>1.7186793694320499</v>
      </c>
      <c r="D97" s="47">
        <v>0.48942862549999999</v>
      </c>
      <c r="E97" s="32"/>
      <c r="F97" s="32">
        <v>71</v>
      </c>
      <c r="G97" s="27">
        <v>73263</v>
      </c>
      <c r="I97" s="6">
        <f t="shared" si="1"/>
        <v>2.011331444759207</v>
      </c>
      <c r="J97" s="6">
        <f t="shared" si="2"/>
        <v>2.0350833333333331</v>
      </c>
      <c r="K97" s="24">
        <v>5</v>
      </c>
      <c r="L97" s="24">
        <v>5</v>
      </c>
    </row>
    <row r="98" spans="1:13" ht="14" x14ac:dyDescent="0.15">
      <c r="A98" s="26" t="s">
        <v>105</v>
      </c>
      <c r="B98" s="2">
        <f t="shared" si="0"/>
        <v>0.17883046112684922</v>
      </c>
      <c r="C98" s="2">
        <f ca="1">IFERROR(__xludf.DUMMYFUNCTION("IFERROR(STDEV.S(FILTER(H114:L114, H114:L114&lt;&gt;"""")))"),0.0315407572695694)</f>
        <v>3.1540757269569397E-2</v>
      </c>
      <c r="D98" s="47">
        <v>0.17637239800000001</v>
      </c>
      <c r="E98" s="32"/>
      <c r="F98" s="32">
        <v>7.1</v>
      </c>
      <c r="G98" s="6">
        <v>5635</v>
      </c>
      <c r="I98" s="6">
        <f t="shared" si="1"/>
        <v>0.20113314447592068</v>
      </c>
      <c r="J98" s="6">
        <f t="shared" si="2"/>
        <v>0.15652777777777777</v>
      </c>
      <c r="K98" s="24"/>
      <c r="L98" s="24"/>
    </row>
    <row r="99" spans="1:13" ht="14" x14ac:dyDescent="0.15">
      <c r="A99" s="26" t="s">
        <v>106</v>
      </c>
      <c r="B99" s="2">
        <f t="shared" si="0"/>
        <v>29.185411866540761</v>
      </c>
      <c r="C99" s="2">
        <f ca="1">IFERROR(__xludf.DUMMYFUNCTION("IFERROR(STDEV.S(FILTER(H115:L115, H115:L115&lt;&gt;"""")))"),2.08746874690201)</f>
        <v>2.0874687469020099</v>
      </c>
      <c r="D99" s="47">
        <v>7.1524388839999994E-2</v>
      </c>
      <c r="E99" s="32"/>
      <c r="F99" s="32">
        <v>1016</v>
      </c>
      <c r="G99" s="6">
        <v>970552</v>
      </c>
      <c r="I99" s="6">
        <f t="shared" si="1"/>
        <v>28.781869688385271</v>
      </c>
      <c r="J99" s="6">
        <f t="shared" si="2"/>
        <v>26.959777777777777</v>
      </c>
      <c r="K99" s="24">
        <v>29</v>
      </c>
      <c r="L99" s="24">
        <v>32</v>
      </c>
    </row>
    <row r="100" spans="1:13" ht="14" x14ac:dyDescent="0.15">
      <c r="A100" s="26" t="s">
        <v>107</v>
      </c>
      <c r="B100" s="2">
        <f t="shared" si="0"/>
        <v>0</v>
      </c>
      <c r="C100" s="2" t="str">
        <f ca="1">IFERROR(__xludf.DUMMYFUNCTION("IFERROR(STDEV.S(FILTER(H116:L116, H116:L116&lt;&gt;"""")))"),"")</f>
        <v/>
      </c>
      <c r="D100" s="47" t="s">
        <v>277</v>
      </c>
      <c r="E100" s="32"/>
      <c r="F100" s="32">
        <v>0</v>
      </c>
      <c r="G100" s="6"/>
      <c r="I100" s="6">
        <f t="shared" si="1"/>
        <v>0</v>
      </c>
      <c r="J100" s="6" t="str">
        <f t="shared" si="2"/>
        <v/>
      </c>
      <c r="K100" s="24"/>
      <c r="L100" s="24"/>
    </row>
    <row r="101" spans="1:13" ht="14" x14ac:dyDescent="0.15">
      <c r="A101" s="26" t="s">
        <v>108</v>
      </c>
      <c r="B101" s="2">
        <f t="shared" si="0"/>
        <v>0</v>
      </c>
      <c r="C101" s="2" t="str">
        <f ca="1">IFERROR(__xludf.DUMMYFUNCTION("IFERROR(STDEV.S(FILTER(H117:L117, H117:L117&lt;&gt;"""")))"),"")</f>
        <v/>
      </c>
      <c r="D101" s="47" t="s">
        <v>277</v>
      </c>
      <c r="E101" s="32"/>
      <c r="F101" s="32">
        <v>0</v>
      </c>
      <c r="G101" s="6"/>
      <c r="I101" s="6">
        <f t="shared" si="1"/>
        <v>0</v>
      </c>
      <c r="J101" s="6" t="str">
        <f t="shared" si="2"/>
        <v/>
      </c>
      <c r="K101" s="24"/>
      <c r="L101" s="24"/>
    </row>
    <row r="102" spans="1:13" ht="14" x14ac:dyDescent="0.15">
      <c r="A102" s="26" t="s">
        <v>109</v>
      </c>
      <c r="B102" s="2">
        <f t="shared" si="0"/>
        <v>0</v>
      </c>
      <c r="C102" s="2" t="str">
        <f ca="1">IFERROR(__xludf.DUMMYFUNCTION("IFERROR(STDEV.S(FILTER(H118:L118, H118:L118&lt;&gt;"""")))"),"")</f>
        <v/>
      </c>
      <c r="D102" s="47" t="s">
        <v>277</v>
      </c>
      <c r="E102" s="32"/>
      <c r="F102" s="32">
        <v>0</v>
      </c>
      <c r="G102" s="6"/>
      <c r="I102" s="6">
        <f t="shared" si="1"/>
        <v>0</v>
      </c>
      <c r="J102" s="6" t="str">
        <f t="shared" si="2"/>
        <v/>
      </c>
      <c r="K102" s="24"/>
      <c r="L102" s="24"/>
    </row>
    <row r="103" spans="1:13" ht="14" x14ac:dyDescent="0.15">
      <c r="A103" s="26" t="s">
        <v>110</v>
      </c>
      <c r="B103" s="2">
        <f t="shared" si="0"/>
        <v>20.525067772269438</v>
      </c>
      <c r="C103" s="2">
        <f ca="1">IFERROR(__xludf.DUMMYFUNCTION("IFERROR(STDEV.S(FILTER(H119:L119, H119:L119&lt;&gt;"""")))"),3.88972808669955)</f>
        <v>3.8897280866995501</v>
      </c>
      <c r="D103" s="47">
        <v>0.18951109590000001</v>
      </c>
      <c r="E103" s="32"/>
      <c r="F103" s="32">
        <v>678</v>
      </c>
      <c r="G103" s="6">
        <v>572165</v>
      </c>
      <c r="I103" s="6">
        <f t="shared" si="1"/>
        <v>19.206798866855525</v>
      </c>
      <c r="J103" s="6">
        <f t="shared" si="2"/>
        <v>15.893472222222222</v>
      </c>
      <c r="K103" s="24">
        <v>22</v>
      </c>
      <c r="L103" s="24">
        <v>25</v>
      </c>
    </row>
    <row r="104" spans="1:13" ht="14" x14ac:dyDescent="0.15">
      <c r="A104" s="26" t="s">
        <v>111</v>
      </c>
      <c r="B104" s="2">
        <f t="shared" si="0"/>
        <v>2.7636528171230725E-2</v>
      </c>
      <c r="C104" s="2">
        <f ca="1">IFERROR(__xludf.DUMMYFUNCTION("IFERROR(STDEV.S(FILTER(H120:L120, H120:L120&lt;&gt;"""")))"),0.000978754192718871)</f>
        <v>9.7875419271887089E-4</v>
      </c>
      <c r="D104" s="47">
        <v>3.5415236920000003E-2</v>
      </c>
      <c r="E104" s="32"/>
      <c r="F104" s="32">
        <v>1</v>
      </c>
      <c r="G104" s="27">
        <v>970</v>
      </c>
      <c r="I104" s="6">
        <f t="shared" si="1"/>
        <v>2.8328611898017001E-2</v>
      </c>
      <c r="J104" s="6">
        <f t="shared" si="2"/>
        <v>2.6944444444444444E-2</v>
      </c>
      <c r="K104" s="24"/>
      <c r="L104" s="24"/>
      <c r="M104" s="6"/>
    </row>
    <row r="105" spans="1:13" ht="14" x14ac:dyDescent="0.15">
      <c r="A105" s="26" t="s">
        <v>112</v>
      </c>
      <c r="B105" s="2">
        <f t="shared" si="0"/>
        <v>0</v>
      </c>
      <c r="C105" s="2" t="str">
        <f ca="1">IFERROR(__xludf.DUMMYFUNCTION("IFERROR(STDEV.S(FILTER(H121:L121, H121:L121&lt;&gt;"""")))"),"")</f>
        <v/>
      </c>
      <c r="D105" s="47" t="s">
        <v>277</v>
      </c>
      <c r="E105" s="32"/>
      <c r="F105" s="32">
        <v>0</v>
      </c>
      <c r="G105" s="27"/>
      <c r="I105" s="6">
        <f t="shared" si="1"/>
        <v>0</v>
      </c>
      <c r="J105" s="6" t="str">
        <f t="shared" si="2"/>
        <v/>
      </c>
      <c r="K105" s="24"/>
      <c r="L105" s="24"/>
      <c r="M105" s="6"/>
    </row>
    <row r="106" spans="1:13" ht="14" x14ac:dyDescent="0.15">
      <c r="A106" s="26" t="s">
        <v>113</v>
      </c>
      <c r="B106" s="2">
        <f t="shared" si="0"/>
        <v>0</v>
      </c>
      <c r="C106" s="2" t="str">
        <f ca="1">IFERROR(__xludf.DUMMYFUNCTION("IFERROR(STDEV.S(FILTER(H123:L123, H123:L123&lt;&gt;"""")))"),"")</f>
        <v/>
      </c>
      <c r="D106" s="47" t="s">
        <v>277</v>
      </c>
      <c r="E106" s="32"/>
      <c r="F106" s="32">
        <v>0</v>
      </c>
      <c r="G106" s="27"/>
      <c r="I106" s="6">
        <f t="shared" si="1"/>
        <v>0</v>
      </c>
      <c r="J106" s="6" t="str">
        <f t="shared" si="2"/>
        <v/>
      </c>
      <c r="K106" s="24"/>
      <c r="L106" s="24"/>
    </row>
    <row r="107" spans="1:13" ht="14" x14ac:dyDescent="0.15">
      <c r="A107" s="26" t="s">
        <v>114</v>
      </c>
      <c r="B107" s="2">
        <f t="shared" si="0"/>
        <v>0</v>
      </c>
      <c r="C107" s="2" t="str">
        <f ca="1">IFERROR(__xludf.DUMMYFUNCTION("IFERROR(STDEV.S(FILTER(H124:L124, H124:L124&lt;&gt;"""")))"),"")</f>
        <v/>
      </c>
      <c r="D107" s="47" t="s">
        <v>277</v>
      </c>
      <c r="E107" s="32"/>
      <c r="F107" s="32">
        <v>0</v>
      </c>
      <c r="G107" s="27"/>
      <c r="I107" s="6">
        <f t="shared" si="1"/>
        <v>0</v>
      </c>
      <c r="J107" s="6" t="str">
        <f t="shared" si="2"/>
        <v/>
      </c>
      <c r="K107" s="24"/>
      <c r="L107" s="24"/>
    </row>
    <row r="108" spans="1:13" ht="14" x14ac:dyDescent="0.15">
      <c r="A108" s="26" t="s">
        <v>115</v>
      </c>
      <c r="B108" s="2">
        <f t="shared" si="0"/>
        <v>0</v>
      </c>
      <c r="C108" s="2" t="str">
        <f ca="1">IFERROR(__xludf.DUMMYFUNCTION("IFERROR(STDEV.S(FILTER(H125:L125, H125:L125&lt;&gt;"""")))"),"")</f>
        <v/>
      </c>
      <c r="D108" s="47" t="s">
        <v>277</v>
      </c>
      <c r="E108" s="32"/>
      <c r="F108" s="32">
        <v>0</v>
      </c>
      <c r="G108" s="27"/>
      <c r="I108" s="6">
        <f t="shared" si="1"/>
        <v>0</v>
      </c>
      <c r="J108" s="6" t="str">
        <f t="shared" si="2"/>
        <v/>
      </c>
      <c r="K108" s="24"/>
      <c r="L108" s="24"/>
    </row>
    <row r="109" spans="1:13" ht="14" x14ac:dyDescent="0.15">
      <c r="A109" s="26" t="s">
        <v>116</v>
      </c>
      <c r="B109" s="2">
        <f t="shared" si="0"/>
        <v>0</v>
      </c>
      <c r="C109" s="2" t="str">
        <f ca="1">IFERROR(__xludf.DUMMYFUNCTION("IFERROR(STDEV.S(FILTER(H126:L126, H126:L126&lt;&gt;"""")))"),"")</f>
        <v/>
      </c>
      <c r="D109" s="47" t="s">
        <v>277</v>
      </c>
      <c r="E109" s="32"/>
      <c r="F109" s="32">
        <v>0</v>
      </c>
      <c r="G109" s="27"/>
      <c r="I109" s="6">
        <f t="shared" si="1"/>
        <v>0</v>
      </c>
      <c r="J109" s="6" t="str">
        <f t="shared" si="2"/>
        <v/>
      </c>
      <c r="K109" s="24"/>
      <c r="L109" s="24"/>
    </row>
    <row r="110" spans="1:13" ht="14" x14ac:dyDescent="0.15">
      <c r="A110" s="26" t="s">
        <v>117</v>
      </c>
      <c r="B110" s="2">
        <f t="shared" si="0"/>
        <v>10.644264321687126</v>
      </c>
      <c r="C110" s="2">
        <f ca="1">IFERROR(__xludf.DUMMYFUNCTION("IFERROR(STDEV.S(FILTER(H127:L127, H127:L127&lt;&gt;"""")))"),0.731443651641521)</f>
        <v>0.73144365164152103</v>
      </c>
      <c r="D110" s="47">
        <v>6.8717163489999997E-2</v>
      </c>
      <c r="E110" s="32"/>
      <c r="F110" s="32">
        <v>394</v>
      </c>
      <c r="G110" s="27">
        <v>364574</v>
      </c>
      <c r="I110" s="6">
        <f t="shared" si="1"/>
        <v>11.161473087818697</v>
      </c>
      <c r="J110" s="6">
        <f t="shared" si="2"/>
        <v>10.127055555555556</v>
      </c>
      <c r="K110" s="24"/>
      <c r="L110" s="24"/>
    </row>
    <row r="111" spans="1:13" ht="14" x14ac:dyDescent="0.15">
      <c r="A111" s="26" t="s">
        <v>118</v>
      </c>
      <c r="B111" s="2">
        <f t="shared" si="0"/>
        <v>0</v>
      </c>
      <c r="C111" s="2" t="str">
        <f ca="1">IFERROR(__xludf.DUMMYFUNCTION("IFERROR(STDEV.S(FILTER(H128:L128, H128:L128&lt;&gt;"""")))"),"")</f>
        <v/>
      </c>
      <c r="D111" s="47" t="s">
        <v>277</v>
      </c>
      <c r="E111" s="32"/>
      <c r="F111" s="32">
        <v>0</v>
      </c>
      <c r="G111" s="27"/>
      <c r="I111" s="6">
        <f t="shared" si="1"/>
        <v>0</v>
      </c>
      <c r="J111" s="6" t="str">
        <f t="shared" si="2"/>
        <v/>
      </c>
      <c r="K111" s="24"/>
      <c r="L111" s="24"/>
    </row>
    <row r="112" spans="1:13" ht="14" x14ac:dyDescent="0.15">
      <c r="A112" s="26" t="s">
        <v>119</v>
      </c>
      <c r="B112" s="2">
        <f t="shared" si="0"/>
        <v>0</v>
      </c>
      <c r="C112" s="2" t="str">
        <f ca="1">IFERROR(__xludf.DUMMYFUNCTION("IFERROR(STDEV.S(FILTER(H129:L129, H129:L129&lt;&gt;"""")))"),"")</f>
        <v/>
      </c>
      <c r="D112" s="47" t="s">
        <v>277</v>
      </c>
      <c r="E112" s="32"/>
      <c r="F112" s="32">
        <v>0</v>
      </c>
      <c r="G112" s="27"/>
      <c r="I112" s="6">
        <f t="shared" si="1"/>
        <v>0</v>
      </c>
      <c r="J112" s="6" t="str">
        <f t="shared" si="2"/>
        <v/>
      </c>
      <c r="K112" s="24"/>
      <c r="L112" s="24"/>
    </row>
    <row r="113" spans="1:13" ht="14" x14ac:dyDescent="0.15">
      <c r="A113" s="26" t="s">
        <v>229</v>
      </c>
      <c r="B113" s="2">
        <f t="shared" si="0"/>
        <v>0</v>
      </c>
      <c r="C113" s="2" t="str">
        <f ca="1">IFERROR(__xludf.DUMMYFUNCTION("IFERROR(STDEV.S(FILTER(H130:L130, H130:L130&lt;&gt;"""")))"),"")</f>
        <v/>
      </c>
      <c r="D113" s="47" t="s">
        <v>277</v>
      </c>
      <c r="E113" s="32"/>
      <c r="F113" s="32">
        <v>0</v>
      </c>
      <c r="G113" s="27"/>
      <c r="I113" s="6">
        <f t="shared" si="1"/>
        <v>0</v>
      </c>
      <c r="J113" s="6" t="str">
        <f t="shared" si="2"/>
        <v/>
      </c>
      <c r="K113" s="24"/>
      <c r="L113" s="24"/>
    </row>
    <row r="114" spans="1:13" ht="14" x14ac:dyDescent="0.15">
      <c r="A114" s="26" t="s">
        <v>121</v>
      </c>
      <c r="B114" s="2">
        <f t="shared" si="0"/>
        <v>0</v>
      </c>
      <c r="C114" s="2" t="str">
        <f ca="1">IFERROR(__xludf.DUMMYFUNCTION("IFERROR(STDEV.S(FILTER(H131:L131, H131:L131&lt;&gt;"""")))"),"")</f>
        <v/>
      </c>
      <c r="D114" s="47" t="s">
        <v>277</v>
      </c>
      <c r="E114" s="32"/>
      <c r="F114" s="32">
        <v>0</v>
      </c>
      <c r="G114" s="27"/>
      <c r="I114" s="6">
        <f t="shared" si="1"/>
        <v>0</v>
      </c>
      <c r="J114" s="6" t="str">
        <f t="shared" si="2"/>
        <v/>
      </c>
      <c r="K114" s="24"/>
      <c r="L114" s="24"/>
    </row>
    <row r="115" spans="1:13" ht="14" x14ac:dyDescent="0.15">
      <c r="A115" s="26" t="s">
        <v>122</v>
      </c>
      <c r="B115" s="2">
        <f t="shared" si="0"/>
        <v>0</v>
      </c>
      <c r="C115" s="2" t="str">
        <f ca="1">IFERROR(__xludf.DUMMYFUNCTION("IFERROR(STDEV.S(FILTER(H132:L132, H132:L132&lt;&gt;"""")))"),"")</f>
        <v/>
      </c>
      <c r="D115" s="47" t="s">
        <v>277</v>
      </c>
      <c r="E115" s="32"/>
      <c r="F115" s="32">
        <v>0</v>
      </c>
      <c r="G115" s="27"/>
      <c r="I115" s="6">
        <f t="shared" si="1"/>
        <v>0</v>
      </c>
      <c r="J115" s="6" t="str">
        <f t="shared" si="2"/>
        <v/>
      </c>
      <c r="K115" s="24"/>
      <c r="L115" s="24"/>
    </row>
    <row r="116" spans="1:13" ht="14" x14ac:dyDescent="0.15">
      <c r="A116" s="26" t="s">
        <v>123</v>
      </c>
      <c r="B116" s="2">
        <f t="shared" si="0"/>
        <v>76.580602946962543</v>
      </c>
      <c r="C116" s="2">
        <f ca="1">IFERROR(__xludf.DUMMYFUNCTION("IFERROR(STDEV.S(FILTER(H133:L133, H133:L133&lt;&gt;"""")))"),2.26676448597901)</f>
        <v>2.2667644859790101</v>
      </c>
      <c r="D116" s="47">
        <v>2.959972106E-2</v>
      </c>
      <c r="E116" s="32"/>
      <c r="F116" s="32">
        <v>2625</v>
      </c>
      <c r="G116" s="27">
        <v>2698553</v>
      </c>
      <c r="I116" s="6">
        <f t="shared" si="1"/>
        <v>74.362606232294624</v>
      </c>
      <c r="J116" s="6">
        <f t="shared" si="2"/>
        <v>74.959805555555562</v>
      </c>
      <c r="K116" s="24">
        <v>79</v>
      </c>
      <c r="L116" s="24">
        <v>78</v>
      </c>
    </row>
    <row r="117" spans="1:13" ht="14" x14ac:dyDescent="0.15">
      <c r="A117" s="26" t="s">
        <v>124</v>
      </c>
      <c r="B117" s="2">
        <f t="shared" si="0"/>
        <v>0</v>
      </c>
      <c r="C117" s="2" t="str">
        <f ca="1">IFERROR(__xludf.DUMMYFUNCTION("IFERROR(STDEV.S(FILTER(H134:L134, H134:L134&lt;&gt;"""")))"),"")</f>
        <v/>
      </c>
      <c r="D117" s="47" t="s">
        <v>277</v>
      </c>
      <c r="E117" s="32"/>
      <c r="F117" s="32">
        <v>0</v>
      </c>
      <c r="G117" s="27"/>
      <c r="I117" s="6">
        <f t="shared" si="1"/>
        <v>0</v>
      </c>
      <c r="J117" s="6" t="str">
        <f t="shared" si="2"/>
        <v/>
      </c>
      <c r="K117" s="24"/>
      <c r="L117" s="24"/>
    </row>
    <row r="118" spans="1:13" ht="14" x14ac:dyDescent="0.15">
      <c r="A118" s="26" t="s">
        <v>125</v>
      </c>
      <c r="B118" s="2">
        <f t="shared" si="0"/>
        <v>0</v>
      </c>
      <c r="C118" s="2" t="str">
        <f ca="1">IFERROR(__xludf.DUMMYFUNCTION("IFERROR(STDEV.S(FILTER(H135:L135, H135:L135&lt;&gt;"""")))"),"")</f>
        <v/>
      </c>
      <c r="D118" s="47" t="s">
        <v>277</v>
      </c>
      <c r="E118" s="32"/>
      <c r="F118" s="32">
        <v>0</v>
      </c>
      <c r="G118" s="27"/>
      <c r="I118" s="6">
        <f t="shared" si="1"/>
        <v>0</v>
      </c>
      <c r="J118" s="6" t="str">
        <f t="shared" si="2"/>
        <v/>
      </c>
      <c r="K118" s="24"/>
      <c r="L118" s="24"/>
    </row>
    <row r="119" spans="1:13" ht="14" x14ac:dyDescent="0.15">
      <c r="A119" s="26" t="s">
        <v>126</v>
      </c>
      <c r="B119" s="2">
        <f t="shared" si="0"/>
        <v>0</v>
      </c>
      <c r="C119" s="2" t="str">
        <f ca="1">IFERROR(__xludf.DUMMYFUNCTION("IFERROR(STDEV.S(FILTER(H136:L136, H136:L136&lt;&gt;"""")))"),"")</f>
        <v/>
      </c>
      <c r="D119" s="47" t="s">
        <v>277</v>
      </c>
      <c r="E119" s="32"/>
      <c r="F119" s="32">
        <v>0</v>
      </c>
      <c r="G119" s="27"/>
      <c r="I119" s="6">
        <f t="shared" si="1"/>
        <v>0</v>
      </c>
      <c r="J119" s="6" t="str">
        <f t="shared" si="2"/>
        <v/>
      </c>
      <c r="K119" s="24"/>
      <c r="L119" s="24"/>
    </row>
    <row r="120" spans="1:13" ht="14" x14ac:dyDescent="0.15">
      <c r="A120" s="26" t="s">
        <v>127</v>
      </c>
      <c r="B120" s="2">
        <f t="shared" si="0"/>
        <v>0</v>
      </c>
      <c r="C120" s="2" t="str">
        <f ca="1">IFERROR(__xludf.DUMMYFUNCTION("IFERROR(STDEV.S(FILTER(H138:L138, H138:L138&lt;&gt;"""")))"),"")</f>
        <v/>
      </c>
      <c r="D120" s="47" t="s">
        <v>277</v>
      </c>
      <c r="E120" s="32"/>
      <c r="F120" s="32">
        <v>0</v>
      </c>
      <c r="G120" s="27"/>
      <c r="I120" s="6">
        <f t="shared" si="1"/>
        <v>0</v>
      </c>
      <c r="J120" s="6" t="str">
        <f t="shared" si="2"/>
        <v/>
      </c>
      <c r="K120" s="24"/>
      <c r="L120" s="24"/>
    </row>
    <row r="121" spans="1:13" ht="14" x14ac:dyDescent="0.15">
      <c r="A121" s="26" t="s">
        <v>128</v>
      </c>
      <c r="B121" s="2">
        <f t="shared" si="0"/>
        <v>0</v>
      </c>
      <c r="C121" s="2" t="str">
        <f ca="1">IFERROR(__xludf.DUMMYFUNCTION("IFERROR(STDEV.S(FILTER(H139:L139, H139:L139&lt;&gt;"""")))"),"")</f>
        <v/>
      </c>
      <c r="D121" s="47" t="s">
        <v>277</v>
      </c>
      <c r="E121" s="32"/>
      <c r="F121" s="32">
        <v>0</v>
      </c>
      <c r="G121" s="27"/>
      <c r="I121" s="6">
        <f t="shared" si="1"/>
        <v>0</v>
      </c>
      <c r="J121" s="6" t="str">
        <f t="shared" si="2"/>
        <v/>
      </c>
      <c r="K121" s="24"/>
      <c r="L121" s="24"/>
    </row>
    <row r="122" spans="1:13" ht="14" x14ac:dyDescent="0.15">
      <c r="A122" s="26" t="s">
        <v>129</v>
      </c>
      <c r="B122" s="2">
        <f t="shared" si="0"/>
        <v>39.640452313503303</v>
      </c>
      <c r="C122" s="2">
        <f ca="1">IFERROR(__xludf.DUMMYFUNCTION("IFERROR(STDEV.S(FILTER(H140:L140, H140:L140&lt;&gt;"""")))"),4.41550095400492)</f>
        <v>4.4155009540049202</v>
      </c>
      <c r="D122" s="47">
        <v>0.1113887632</v>
      </c>
      <c r="E122" s="32"/>
      <c r="F122" s="32">
        <v>1170</v>
      </c>
      <c r="G122" s="27">
        <v>1491024</v>
      </c>
      <c r="I122" s="6">
        <f t="shared" si="1"/>
        <v>33.144475920679888</v>
      </c>
      <c r="J122" s="6">
        <f t="shared" si="2"/>
        <v>41.417333333333332</v>
      </c>
      <c r="K122" s="24">
        <v>41</v>
      </c>
      <c r="L122" s="24">
        <v>43</v>
      </c>
    </row>
    <row r="123" spans="1:13" ht="14" x14ac:dyDescent="0.15">
      <c r="A123" s="26" t="s">
        <v>230</v>
      </c>
      <c r="B123" s="2">
        <f t="shared" si="0"/>
        <v>0</v>
      </c>
      <c r="C123" s="2" t="str">
        <f ca="1">IFERROR(__xludf.DUMMYFUNCTION("IFERROR(STDEV.S(FILTER(H141:L141, H141:L141&lt;&gt;"""")))"),"")</f>
        <v/>
      </c>
      <c r="D123" s="47" t="s">
        <v>277</v>
      </c>
      <c r="E123" s="32"/>
      <c r="F123" s="32">
        <v>0</v>
      </c>
      <c r="G123" s="27"/>
      <c r="I123" s="6">
        <f t="shared" si="1"/>
        <v>0</v>
      </c>
      <c r="J123" s="6" t="str">
        <f t="shared" si="2"/>
        <v/>
      </c>
      <c r="K123" s="24"/>
      <c r="L123" s="24"/>
      <c r="M123" s="6"/>
    </row>
    <row r="124" spans="1:13" ht="14" x14ac:dyDescent="0.15">
      <c r="A124" s="26" t="s">
        <v>130</v>
      </c>
      <c r="B124" s="2">
        <f t="shared" si="0"/>
        <v>2.7777777777777779E-5</v>
      </c>
      <c r="C124" s="2">
        <f ca="1">IFERROR(__xludf.DUMMYFUNCTION("IFERROR(STDEV.S(FILTER(H143:L143, H143:L143&lt;&gt;"""")))"),0.0000392837100659193)</f>
        <v>3.9283710065919301E-5</v>
      </c>
      <c r="D124" s="47">
        <v>1.414213562</v>
      </c>
      <c r="E124" s="32"/>
      <c r="F124" s="32">
        <v>0</v>
      </c>
      <c r="G124" s="6">
        <v>2</v>
      </c>
      <c r="I124" s="6">
        <f t="shared" si="1"/>
        <v>0</v>
      </c>
      <c r="J124" s="6">
        <f t="shared" si="2"/>
        <v>5.5555555555555558E-5</v>
      </c>
      <c r="K124" s="24"/>
      <c r="L124" s="24"/>
    </row>
    <row r="125" spans="1:13" ht="14" x14ac:dyDescent="0.15">
      <c r="A125" s="26" t="s">
        <v>131</v>
      </c>
      <c r="B125" s="2">
        <f t="shared" si="0"/>
        <v>0</v>
      </c>
      <c r="C125" s="2" t="str">
        <f ca="1">IFERROR(__xludf.DUMMYFUNCTION("IFERROR(STDEV.S(FILTER(H144:L144, H144:L144&lt;&gt;"""")))"),"")</f>
        <v/>
      </c>
      <c r="D125" s="47" t="s">
        <v>277</v>
      </c>
      <c r="E125" s="32"/>
      <c r="F125" s="32">
        <v>0</v>
      </c>
      <c r="G125" s="6"/>
      <c r="I125" s="6">
        <f t="shared" si="1"/>
        <v>0</v>
      </c>
      <c r="J125" s="6" t="str">
        <f t="shared" si="2"/>
        <v/>
      </c>
      <c r="K125" s="24"/>
      <c r="L125" s="24"/>
    </row>
    <row r="126" spans="1:13" ht="14" x14ac:dyDescent="0.15">
      <c r="A126" s="26" t="s">
        <v>132</v>
      </c>
      <c r="B126" s="2">
        <f t="shared" si="0"/>
        <v>0</v>
      </c>
      <c r="C126" s="2">
        <f ca="1">IFERROR(__xludf.DUMMYFUNCTION("IFERROR(STDEV.S(FILTER(H145:L145, H145:L145&lt;&gt;"""")))"),0)</f>
        <v>0</v>
      </c>
      <c r="D126" s="47" t="s">
        <v>277</v>
      </c>
      <c r="E126" s="32"/>
      <c r="F126" s="32">
        <v>0</v>
      </c>
      <c r="G126" s="6">
        <v>0</v>
      </c>
      <c r="I126" s="6">
        <f t="shared" si="1"/>
        <v>0</v>
      </c>
      <c r="J126" s="6">
        <f t="shared" si="2"/>
        <v>0</v>
      </c>
      <c r="K126" s="24"/>
      <c r="L126" s="24"/>
    </row>
    <row r="127" spans="1:13" ht="14" x14ac:dyDescent="0.15">
      <c r="A127" s="26" t="s">
        <v>133</v>
      </c>
      <c r="B127" s="2">
        <f t="shared" si="0"/>
        <v>0</v>
      </c>
      <c r="C127" s="2" t="str">
        <f ca="1">IFERROR(__xludf.DUMMYFUNCTION("IFERROR(STDEV.S(FILTER(H146:L146, H146:L146&lt;&gt;"""")))"),"")</f>
        <v/>
      </c>
      <c r="D127" s="47" t="s">
        <v>277</v>
      </c>
      <c r="E127" s="32"/>
      <c r="F127" s="32">
        <v>0</v>
      </c>
      <c r="G127" s="6"/>
      <c r="I127" s="6">
        <f t="shared" si="1"/>
        <v>0</v>
      </c>
      <c r="J127" s="6" t="str">
        <f t="shared" si="2"/>
        <v/>
      </c>
      <c r="K127" s="24"/>
      <c r="L127" s="24"/>
    </row>
    <row r="128" spans="1:13" ht="14" x14ac:dyDescent="0.15">
      <c r="A128" s="26" t="s">
        <v>134</v>
      </c>
      <c r="B128" s="2">
        <f t="shared" si="0"/>
        <v>6.2370278564683662E-2</v>
      </c>
      <c r="C128" s="2">
        <f ca="1">IFERROR(__xludf.DUMMYFUNCTION("IFERROR(STDEV.S(FILTER(H147:L147, H147:L147&lt;&gt;"""")))"),0.00807947953640464)</f>
        <v>8.07947953640464E-3</v>
      </c>
      <c r="D128" s="47">
        <v>0.1295405395</v>
      </c>
      <c r="E128" s="32"/>
      <c r="F128" s="32">
        <v>2</v>
      </c>
      <c r="G128" s="6">
        <v>2451</v>
      </c>
      <c r="I128" s="6">
        <f t="shared" si="1"/>
        <v>5.6657223796034002E-2</v>
      </c>
      <c r="J128" s="6">
        <f t="shared" si="2"/>
        <v>6.8083333333333329E-2</v>
      </c>
      <c r="K128" s="24"/>
      <c r="L128" s="24"/>
    </row>
    <row r="129" spans="1:13" ht="14" x14ac:dyDescent="0.15">
      <c r="A129" s="26" t="s">
        <v>135</v>
      </c>
      <c r="B129" s="2">
        <f t="shared" si="0"/>
        <v>7.7999555398174385</v>
      </c>
      <c r="C129" s="2">
        <f ca="1">IFERROR(__xludf.DUMMYFUNCTION("IFERROR(STDEV.S(FILTER(H148:L148, H148:L148&lt;&gt;"""")))"),1.50882442743879)</f>
        <v>1.5088244274387901</v>
      </c>
      <c r="D129" s="47">
        <v>0.1934401318</v>
      </c>
      <c r="E129" s="32"/>
      <c r="F129" s="32">
        <v>313</v>
      </c>
      <c r="G129" s="6">
        <v>242390</v>
      </c>
      <c r="I129" s="6">
        <f t="shared" si="1"/>
        <v>8.8668555240793214</v>
      </c>
      <c r="J129" s="6">
        <f t="shared" si="2"/>
        <v>6.7330555555555556</v>
      </c>
      <c r="K129" s="24"/>
      <c r="L129" s="24"/>
    </row>
    <row r="130" spans="1:13" ht="14" x14ac:dyDescent="0.15">
      <c r="A130" s="26" t="s">
        <v>136</v>
      </c>
      <c r="B130" s="2">
        <f t="shared" si="0"/>
        <v>15.192444444444444</v>
      </c>
      <c r="C130" s="2" t="str">
        <f ca="1">IFERROR(__xludf.DUMMYFUNCTION("IFERROR(STDEV.S(FILTER(H149:L149, H149:L149&lt;&gt;"""")))"),"")</f>
        <v/>
      </c>
      <c r="D130" s="47">
        <v>0</v>
      </c>
      <c r="E130" s="32"/>
      <c r="F130" s="32"/>
      <c r="G130" s="6">
        <v>546928</v>
      </c>
      <c r="I130" s="6" t="str">
        <f t="shared" si="1"/>
        <v/>
      </c>
      <c r="J130" s="6">
        <f t="shared" si="2"/>
        <v>15.192444444444444</v>
      </c>
      <c r="K130" s="24"/>
      <c r="L130" s="24"/>
    </row>
    <row r="131" spans="1:13" ht="14" x14ac:dyDescent="0.15">
      <c r="A131" s="26" t="s">
        <v>137</v>
      </c>
      <c r="B131" s="2">
        <f t="shared" si="0"/>
        <v>0</v>
      </c>
      <c r="C131" s="2" t="str">
        <f ca="1">IFERROR(__xludf.DUMMYFUNCTION("IFERROR(STDEV.S(FILTER(H150:L150, H150:L150&lt;&gt;"""")))"),"")</f>
        <v/>
      </c>
      <c r="D131" s="47" t="s">
        <v>277</v>
      </c>
      <c r="E131" s="32"/>
      <c r="F131" s="32">
        <v>0</v>
      </c>
      <c r="G131" s="6"/>
      <c r="I131" s="6">
        <f t="shared" si="1"/>
        <v>0</v>
      </c>
      <c r="J131" s="6" t="str">
        <f t="shared" si="2"/>
        <v/>
      </c>
      <c r="K131" s="24"/>
      <c r="L131" s="24"/>
    </row>
    <row r="132" spans="1:13" ht="14" x14ac:dyDescent="0.15">
      <c r="A132" s="26" t="s">
        <v>138</v>
      </c>
      <c r="B132" s="2">
        <f t="shared" si="0"/>
        <v>0</v>
      </c>
      <c r="C132" s="2" t="str">
        <f ca="1">IFERROR(__xludf.DUMMYFUNCTION("IFERROR(STDEV.S(FILTER(H151:L151, H151:L151&lt;&gt;"""")))"),"")</f>
        <v/>
      </c>
      <c r="D132" s="47" t="s">
        <v>277</v>
      </c>
      <c r="E132" s="32"/>
      <c r="F132" s="32">
        <v>0</v>
      </c>
      <c r="G132" s="6"/>
      <c r="I132" s="6">
        <f t="shared" si="1"/>
        <v>0</v>
      </c>
      <c r="J132" s="6" t="str">
        <f t="shared" si="2"/>
        <v/>
      </c>
      <c r="K132" s="24"/>
      <c r="L132" s="24"/>
    </row>
    <row r="133" spans="1:13" ht="14" x14ac:dyDescent="0.15">
      <c r="A133" s="26" t="s">
        <v>139</v>
      </c>
      <c r="B133" s="2">
        <f t="shared" si="0"/>
        <v>0</v>
      </c>
      <c r="C133" s="2" t="str">
        <f ca="1">IFERROR(__xludf.DUMMYFUNCTION("IFERROR(STDEV.S(FILTER(H152:L152, H152:L152&lt;&gt;"""")))"),"")</f>
        <v/>
      </c>
      <c r="D133" s="47" t="s">
        <v>277</v>
      </c>
      <c r="E133" s="32"/>
      <c r="F133" s="32">
        <v>0</v>
      </c>
      <c r="G133" s="6"/>
      <c r="I133" s="6">
        <f t="shared" si="1"/>
        <v>0</v>
      </c>
      <c r="J133" s="6" t="str">
        <f t="shared" si="2"/>
        <v/>
      </c>
      <c r="K133" s="24"/>
      <c r="L133" s="24"/>
    </row>
    <row r="134" spans="1:13" ht="14" x14ac:dyDescent="0.15">
      <c r="A134" s="26" t="s">
        <v>140</v>
      </c>
      <c r="B134" s="2">
        <f t="shared" si="0"/>
        <v>12.90983535961599</v>
      </c>
      <c r="C134" s="2">
        <f ca="1">IFERROR(__xludf.DUMMYFUNCTION("IFERROR(STDEV.S(FILTER(H153:L153, H153:L153&lt;&gt;"""")))"),3.52787593143509)</f>
        <v>3.5278759314350898</v>
      </c>
      <c r="D134" s="47">
        <v>0.27327040460000002</v>
      </c>
      <c r="E134" s="32"/>
      <c r="F134" s="32">
        <v>416</v>
      </c>
      <c r="G134" s="6">
        <v>354767</v>
      </c>
      <c r="I134" s="6">
        <f t="shared" si="1"/>
        <v>11.784702549575071</v>
      </c>
      <c r="J134" s="6">
        <f t="shared" si="2"/>
        <v>9.8546388888888892</v>
      </c>
      <c r="K134" s="24">
        <v>18</v>
      </c>
      <c r="L134" s="24">
        <v>12</v>
      </c>
    </row>
    <row r="135" spans="1:13" ht="28" x14ac:dyDescent="0.15">
      <c r="A135" s="26" t="s">
        <v>141</v>
      </c>
      <c r="B135" s="2">
        <f t="shared" si="0"/>
        <v>0</v>
      </c>
      <c r="C135" s="2" t="str">
        <f ca="1">IFERROR(__xludf.DUMMYFUNCTION("IFERROR(STDEV.S(FILTER(H155:L155, H155:L155&lt;&gt;"""")))"),"")</f>
        <v/>
      </c>
      <c r="D135" s="47" t="s">
        <v>277</v>
      </c>
      <c r="E135" s="32"/>
      <c r="F135" s="32">
        <v>0</v>
      </c>
      <c r="G135" s="6"/>
      <c r="I135" s="6">
        <f t="shared" si="1"/>
        <v>0</v>
      </c>
      <c r="J135" s="6" t="str">
        <f t="shared" si="2"/>
        <v/>
      </c>
      <c r="K135" s="24"/>
      <c r="L135" s="24"/>
    </row>
    <row r="136" spans="1:13" ht="14" x14ac:dyDescent="0.15">
      <c r="A136" s="26" t="s">
        <v>142</v>
      </c>
      <c r="B136" s="2">
        <f t="shared" si="0"/>
        <v>3.9074389164305949</v>
      </c>
      <c r="C136" s="2">
        <f ca="1">IFERROR(__xludf.DUMMYFUNCTION("IFERROR(STDEV.S(FILTER(H156:L156, H156:L156&lt;&gt;"""")))"),0.163247726371925)</f>
        <v>0.163247726371925</v>
      </c>
      <c r="D136" s="47">
        <v>4.1778702080000001E-2</v>
      </c>
      <c r="E136" s="32"/>
      <c r="F136" s="32">
        <v>140</v>
      </c>
      <c r="G136" s="6">
        <v>131895</v>
      </c>
      <c r="I136" s="6">
        <f t="shared" si="1"/>
        <v>3.9660056657223799</v>
      </c>
      <c r="J136" s="6">
        <f t="shared" si="2"/>
        <v>3.6637499999999998</v>
      </c>
      <c r="K136" s="24">
        <v>4</v>
      </c>
      <c r="L136" s="24">
        <v>4</v>
      </c>
    </row>
    <row r="137" spans="1:13" ht="14" x14ac:dyDescent="0.15">
      <c r="A137" s="26" t="s">
        <v>143</v>
      </c>
      <c r="B137" s="2">
        <f t="shared" si="0"/>
        <v>0</v>
      </c>
      <c r="C137" s="2" t="str">
        <f ca="1">IFERROR(__xludf.DUMMYFUNCTION("IFERROR(STDEV.S(FILTER(H157:L157, H157:L157&lt;&gt;"""")))"),"")</f>
        <v/>
      </c>
      <c r="D137" s="47" t="s">
        <v>277</v>
      </c>
      <c r="E137" s="32"/>
      <c r="F137" s="32">
        <v>0</v>
      </c>
      <c r="G137" s="27"/>
      <c r="I137" s="6">
        <f t="shared" si="1"/>
        <v>0</v>
      </c>
      <c r="J137" s="6" t="str">
        <f t="shared" si="2"/>
        <v/>
      </c>
      <c r="K137" s="24"/>
      <c r="L137" s="24"/>
    </row>
    <row r="138" spans="1:13" ht="14" x14ac:dyDescent="0.15">
      <c r="A138" s="26" t="s">
        <v>144</v>
      </c>
      <c r="B138" s="2">
        <f t="shared" si="0"/>
        <v>2.5539542020774318E-2</v>
      </c>
      <c r="C138" s="2">
        <f ca="1">IFERROR(__xludf.DUMMYFUNCTION("IFERROR(STDEV.S(FILTER(H158:L158, H158:L158&lt;&gt;"""")))"),0.0000619302681350791)</f>
        <v>6.1930268135079093E-5</v>
      </c>
      <c r="D138" s="47">
        <v>2.4248777870000001E-3</v>
      </c>
      <c r="E138" s="32"/>
      <c r="F138" s="32">
        <v>0.9</v>
      </c>
      <c r="G138" s="27">
        <v>921</v>
      </c>
      <c r="I138" s="6">
        <f t="shared" si="1"/>
        <v>2.54957507082153E-2</v>
      </c>
      <c r="J138" s="6">
        <f t="shared" si="2"/>
        <v>2.5583333333333333E-2</v>
      </c>
      <c r="K138" s="24"/>
      <c r="L138" s="24"/>
    </row>
    <row r="139" spans="1:13" ht="14" x14ac:dyDescent="0.15">
      <c r="A139" s="26" t="s">
        <v>145</v>
      </c>
      <c r="B139" s="2">
        <f t="shared" si="0"/>
        <v>38.771447001888575</v>
      </c>
      <c r="C139" s="2">
        <f ca="1">IFERROR(__xludf.DUMMYFUNCTION("IFERROR(STDEV.S(FILTER(H159:L159, H159:L159&lt;&gt;"""")))"),0.9536063942943)</f>
        <v>0.95360639429430005</v>
      </c>
      <c r="D139" s="47">
        <v>2.459558433E-2</v>
      </c>
      <c r="E139" s="32"/>
      <c r="F139" s="32">
        <v>1351</v>
      </c>
      <c r="G139" s="27">
        <v>1361298</v>
      </c>
      <c r="I139" s="6">
        <f t="shared" si="1"/>
        <v>38.271954674220964</v>
      </c>
      <c r="J139" s="6">
        <f t="shared" si="2"/>
        <v>37.813833333333335</v>
      </c>
      <c r="K139" s="24">
        <v>40</v>
      </c>
      <c r="L139" s="24">
        <v>39</v>
      </c>
    </row>
    <row r="140" spans="1:13" ht="14" x14ac:dyDescent="0.15">
      <c r="A140" s="26" t="s">
        <v>146</v>
      </c>
      <c r="B140" s="2">
        <f t="shared" si="0"/>
        <v>0</v>
      </c>
      <c r="C140" s="2" t="str">
        <f ca="1">IFERROR(__xludf.DUMMYFUNCTION("IFERROR(STDEV.S(FILTER(H160:L160, H160:L160&lt;&gt;"""")))"),"")</f>
        <v/>
      </c>
      <c r="D140" s="47" t="s">
        <v>277</v>
      </c>
      <c r="E140" s="32"/>
      <c r="F140" s="32">
        <v>0</v>
      </c>
      <c r="G140" s="27"/>
      <c r="I140" s="6">
        <f t="shared" si="1"/>
        <v>0</v>
      </c>
      <c r="J140" s="6" t="str">
        <f t="shared" si="2"/>
        <v/>
      </c>
      <c r="K140" s="22"/>
      <c r="L140" s="22"/>
      <c r="M140" s="27"/>
    </row>
    <row r="141" spans="1:13" ht="14" x14ac:dyDescent="0.15">
      <c r="A141" s="26" t="s">
        <v>147</v>
      </c>
      <c r="B141" s="2">
        <f t="shared" si="0"/>
        <v>0</v>
      </c>
      <c r="C141" s="2" t="str">
        <f ca="1">IFERROR(__xludf.DUMMYFUNCTION("IFERROR(STDEV.S(FILTER(H162:L162, H162:L162&lt;&gt;"""")))"),"")</f>
        <v/>
      </c>
      <c r="D141" s="47" t="s">
        <v>277</v>
      </c>
      <c r="E141" s="32"/>
      <c r="F141" s="32">
        <v>0</v>
      </c>
      <c r="G141" s="27"/>
      <c r="I141" s="6">
        <f t="shared" si="1"/>
        <v>0</v>
      </c>
      <c r="J141" s="6" t="str">
        <f t="shared" si="2"/>
        <v/>
      </c>
      <c r="K141" s="24"/>
      <c r="L141" s="24"/>
    </row>
    <row r="142" spans="1:13" ht="28" x14ac:dyDescent="0.15">
      <c r="A142" s="26" t="s">
        <v>148</v>
      </c>
      <c r="B142" s="2">
        <f t="shared" si="0"/>
        <v>0</v>
      </c>
      <c r="C142" s="2" t="str">
        <f ca="1">IFERROR(__xludf.DUMMYFUNCTION("IFERROR(STDEV.S(FILTER(H163:L163, H163:L163&lt;&gt;"""")))"),"")</f>
        <v/>
      </c>
      <c r="D142" s="47" t="s">
        <v>277</v>
      </c>
      <c r="E142" s="32"/>
      <c r="F142" s="32">
        <v>0</v>
      </c>
      <c r="G142" s="27"/>
      <c r="I142" s="6">
        <f t="shared" si="1"/>
        <v>0</v>
      </c>
      <c r="J142" s="6" t="str">
        <f t="shared" si="2"/>
        <v/>
      </c>
      <c r="K142" s="24"/>
      <c r="L142" s="24"/>
    </row>
    <row r="143" spans="1:13" ht="14" x14ac:dyDescent="0.15">
      <c r="A143" s="26" t="s">
        <v>149</v>
      </c>
      <c r="B143" s="2">
        <f t="shared" si="0"/>
        <v>122.83473473402582</v>
      </c>
      <c r="C143" s="2">
        <f ca="1">IFERROR(__xludf.DUMMYFUNCTION("IFERROR(STDEV.S(FILTER(H165:L165, H165:L165&lt;&gt;"""")))"),3.47153942354395)</f>
        <v>3.4715394235439501</v>
      </c>
      <c r="D143" s="47">
        <v>2.8261870969999998E-2</v>
      </c>
      <c r="E143" s="32"/>
      <c r="F143" s="32">
        <v>4296</v>
      </c>
      <c r="G143" s="27">
        <v>4343012</v>
      </c>
      <c r="I143" s="6">
        <f t="shared" si="1"/>
        <v>121.69971671388103</v>
      </c>
      <c r="J143" s="6">
        <f t="shared" si="2"/>
        <v>120.63922222222222</v>
      </c>
      <c r="K143" s="24">
        <v>128</v>
      </c>
      <c r="L143" s="24">
        <v>121</v>
      </c>
    </row>
    <row r="144" spans="1:13" ht="14" x14ac:dyDescent="0.15">
      <c r="A144" s="26" t="s">
        <v>150</v>
      </c>
      <c r="B144" s="2">
        <f t="shared" si="0"/>
        <v>42.064200857727414</v>
      </c>
      <c r="C144" s="2">
        <f ca="1">IFERROR(__xludf.DUMMYFUNCTION("IFERROR(STDEV.S(FILTER(H166:L166, H166:L166&lt;&gt;"""")))"),0.435333005198764)</f>
        <v>0.435333005198764</v>
      </c>
      <c r="D144" s="47">
        <v>1.034925177E-2</v>
      </c>
      <c r="E144" s="32"/>
      <c r="F144" s="32">
        <v>1474</v>
      </c>
      <c r="G144" s="6">
        <v>1525393</v>
      </c>
      <c r="I144" s="6">
        <f t="shared" si="1"/>
        <v>41.756373937677054</v>
      </c>
      <c r="J144" s="6">
        <f t="shared" si="2"/>
        <v>42.372027777777781</v>
      </c>
      <c r="K144" s="24"/>
      <c r="L144" s="24"/>
    </row>
    <row r="145" spans="1:13" ht="14" x14ac:dyDescent="0.15">
      <c r="A145" s="26" t="s">
        <v>151</v>
      </c>
      <c r="B145" s="2">
        <f t="shared" si="0"/>
        <v>25.608376770538243</v>
      </c>
      <c r="C145" s="2">
        <f ca="1">IFERROR(__xludf.DUMMYFUNCTION("IFERROR(STDEV.S(FILTER(H168:L168, H168:L168&lt;&gt;"""")))"),2.64511219564277)</f>
        <v>2.6451121956427701</v>
      </c>
      <c r="D145" s="47">
        <v>0.10329089650000001</v>
      </c>
      <c r="E145" s="32"/>
      <c r="F145" s="32">
        <v>970</v>
      </c>
      <c r="G145" s="6">
        <v>854568</v>
      </c>
      <c r="I145" s="6">
        <f t="shared" si="1"/>
        <v>27.47875354107649</v>
      </c>
      <c r="J145" s="6">
        <f t="shared" si="2"/>
        <v>23.738</v>
      </c>
      <c r="K145" s="24"/>
      <c r="L145" s="24"/>
    </row>
    <row r="146" spans="1:13" ht="14" x14ac:dyDescent="0.15">
      <c r="A146" s="46" t="s">
        <v>152</v>
      </c>
      <c r="B146" s="2">
        <f t="shared" si="0"/>
        <v>0</v>
      </c>
      <c r="C146" s="2" t="str">
        <f ca="1">IFERROR(__xludf.DUMMYFUNCTION("IFERROR(STDEV.S(FILTER(H169:L169, H169:L169&lt;&gt;"""")))"),"")</f>
        <v/>
      </c>
      <c r="D146" s="47" t="s">
        <v>277</v>
      </c>
      <c r="E146" s="32"/>
      <c r="F146" s="32">
        <v>0</v>
      </c>
      <c r="G146" s="6"/>
      <c r="I146" s="6">
        <f t="shared" si="1"/>
        <v>0</v>
      </c>
      <c r="J146" s="6" t="str">
        <f t="shared" si="2"/>
        <v/>
      </c>
      <c r="K146" s="24"/>
      <c r="L146" s="24"/>
    </row>
    <row r="147" spans="1:13" ht="14" x14ac:dyDescent="0.15">
      <c r="A147" s="26" t="s">
        <v>153</v>
      </c>
      <c r="B147" s="2">
        <f t="shared" si="0"/>
        <v>0</v>
      </c>
      <c r="C147" s="2" t="str">
        <f ca="1">IFERROR(__xludf.DUMMYFUNCTION("IFERROR(STDEV.S(FILTER(H170:L170, H170:L170&lt;&gt;"""")))"),"")</f>
        <v/>
      </c>
      <c r="D147" s="47" t="s">
        <v>277</v>
      </c>
      <c r="E147" s="32"/>
      <c r="F147" s="32">
        <v>0</v>
      </c>
      <c r="G147" s="6"/>
      <c r="I147" s="6">
        <f t="shared" si="1"/>
        <v>0</v>
      </c>
      <c r="J147" s="6" t="str">
        <f t="shared" si="2"/>
        <v/>
      </c>
      <c r="K147" s="24"/>
      <c r="L147" s="24"/>
    </row>
    <row r="148" spans="1:13" ht="28" x14ac:dyDescent="0.15">
      <c r="A148" s="26" t="s">
        <v>154</v>
      </c>
      <c r="B148" s="2">
        <f t="shared" si="0"/>
        <v>11.586402266288953</v>
      </c>
      <c r="C148" s="2" t="str">
        <f ca="1">IFERROR(__xludf.DUMMYFUNCTION("IFERROR(STDEV.S(FILTER(H171:L171, H171:L171&lt;&gt;"""")))"),"")</f>
        <v/>
      </c>
      <c r="D148" s="47">
        <v>0</v>
      </c>
      <c r="E148" s="32"/>
      <c r="F148" s="32">
        <v>409</v>
      </c>
      <c r="G148" s="6"/>
      <c r="I148" s="6">
        <f t="shared" si="1"/>
        <v>11.586402266288953</v>
      </c>
      <c r="J148" s="6" t="str">
        <f t="shared" si="2"/>
        <v/>
      </c>
      <c r="K148" s="24"/>
      <c r="L148" s="24"/>
    </row>
    <row r="149" spans="1:13" ht="14" x14ac:dyDescent="0.15">
      <c r="A149" s="26" t="s">
        <v>155</v>
      </c>
      <c r="B149" s="2">
        <f t="shared" si="0"/>
        <v>0</v>
      </c>
      <c r="C149" s="2" t="str">
        <f ca="1">IFERROR(__xludf.DUMMYFUNCTION("IFERROR(STDEV.S(FILTER(H172:L172, H172:L172&lt;&gt;"""")))"),"")</f>
        <v/>
      </c>
      <c r="D149" s="47" t="s">
        <v>277</v>
      </c>
      <c r="E149" s="32"/>
      <c r="F149" s="32">
        <v>0</v>
      </c>
      <c r="G149" s="6"/>
      <c r="I149" s="6">
        <f t="shared" si="1"/>
        <v>0</v>
      </c>
      <c r="J149" s="6" t="str">
        <f t="shared" si="2"/>
        <v/>
      </c>
      <c r="K149" s="24"/>
      <c r="L149" s="24"/>
    </row>
    <row r="150" spans="1:13" ht="14" x14ac:dyDescent="0.15">
      <c r="A150" s="26" t="s">
        <v>156</v>
      </c>
      <c r="B150" s="2">
        <f t="shared" si="0"/>
        <v>15.026293397859616</v>
      </c>
      <c r="C150" s="2">
        <f ca="1">IFERROR(__xludf.DUMMYFUNCTION("IFERROR(STDEV.S(FILTER(H173:L173, H173:L173&lt;&gt;"""")))"),0.537968319221182)</f>
        <v>0.53796831922118205</v>
      </c>
      <c r="D150" s="47">
        <v>3.5801797890000001E-2</v>
      </c>
      <c r="E150" s="32"/>
      <c r="F150" s="32">
        <v>517</v>
      </c>
      <c r="G150" s="6">
        <v>554641</v>
      </c>
      <c r="I150" s="6">
        <f t="shared" si="1"/>
        <v>14.645892351274789</v>
      </c>
      <c r="J150" s="6">
        <f t="shared" si="2"/>
        <v>15.406694444444444</v>
      </c>
      <c r="K150" s="24"/>
      <c r="L150" s="24"/>
    </row>
    <row r="151" spans="1:13" ht="14" x14ac:dyDescent="0.15">
      <c r="A151" s="26" t="s">
        <v>157</v>
      </c>
      <c r="B151" s="2">
        <f t="shared" si="0"/>
        <v>2.6920425322631414</v>
      </c>
      <c r="C151" s="2">
        <f ca="1">IFERROR(__xludf.DUMMYFUNCTION("IFERROR(STDEV.S(FILTER(H174:L174, H174:L174&lt;&gt;"""")))"),0.521981073362628)</f>
        <v>0.521981073362628</v>
      </c>
      <c r="D151" s="47">
        <v>0.19389778099999999</v>
      </c>
      <c r="E151" s="32"/>
      <c r="F151" s="32">
        <v>82</v>
      </c>
      <c r="G151" s="6">
        <v>110201</v>
      </c>
      <c r="I151" s="6">
        <f t="shared" si="1"/>
        <v>2.3229461756373939</v>
      </c>
      <c r="J151" s="6">
        <f t="shared" si="2"/>
        <v>3.0611388888888889</v>
      </c>
      <c r="K151" s="24"/>
      <c r="L151" s="24"/>
    </row>
    <row r="152" spans="1:13" ht="14" x14ac:dyDescent="0.15">
      <c r="A152" s="26" t="s">
        <v>158</v>
      </c>
      <c r="B152" s="2">
        <f t="shared" si="0"/>
        <v>4.5065963566257476</v>
      </c>
      <c r="C152" s="2">
        <f ca="1">IFERROR(__xludf.DUMMYFUNCTION("IFERROR(STDEV.S(FILTER(H175:L175, H175:L175&lt;&gt;"""")))"),0.798842893416986)</f>
        <v>0.798842893416986</v>
      </c>
      <c r="D152" s="47">
        <v>0.17726080399999999</v>
      </c>
      <c r="E152" s="32"/>
      <c r="F152" s="32">
        <v>189</v>
      </c>
      <c r="G152" s="6">
        <v>132202</v>
      </c>
      <c r="I152" s="6">
        <f t="shared" si="1"/>
        <v>5.3541076487252131</v>
      </c>
      <c r="J152" s="6">
        <f t="shared" si="2"/>
        <v>3.672277777777778</v>
      </c>
      <c r="K152" s="24">
        <v>5</v>
      </c>
      <c r="L152" s="24">
        <v>4</v>
      </c>
    </row>
    <row r="153" spans="1:13" ht="14" x14ac:dyDescent="0.15">
      <c r="A153" s="26" t="s">
        <v>159</v>
      </c>
      <c r="B153" s="2">
        <f t="shared" si="0"/>
        <v>0</v>
      </c>
      <c r="C153" s="2" t="str">
        <f ca="1">IFERROR(__xludf.DUMMYFUNCTION("IFERROR(STDEV.S(FILTER(H176:L176, H176:L176&lt;&gt;"""")))"),"")</f>
        <v/>
      </c>
      <c r="D153" s="47" t="s">
        <v>277</v>
      </c>
      <c r="E153" s="32"/>
      <c r="F153" s="32">
        <v>0</v>
      </c>
      <c r="G153" s="6"/>
      <c r="I153" s="6">
        <f t="shared" si="1"/>
        <v>0</v>
      </c>
      <c r="J153" s="6" t="str">
        <f t="shared" si="2"/>
        <v/>
      </c>
      <c r="K153" s="24" t="s">
        <v>231</v>
      </c>
      <c r="L153" s="24" t="s">
        <v>231</v>
      </c>
    </row>
    <row r="154" spans="1:13" ht="14" x14ac:dyDescent="0.15">
      <c r="A154" s="26" t="s">
        <v>160</v>
      </c>
      <c r="B154" s="2">
        <f t="shared" si="0"/>
        <v>0</v>
      </c>
      <c r="C154" s="2" t="str">
        <f ca="1">IFERROR(__xludf.DUMMYFUNCTION("IFERROR(STDEV.S(FILTER(H177:L177, H177:L177&lt;&gt;"""")))"),"")</f>
        <v/>
      </c>
      <c r="D154" s="47" t="s">
        <v>277</v>
      </c>
      <c r="E154" s="32"/>
      <c r="F154" s="32">
        <v>0</v>
      </c>
      <c r="G154" s="6"/>
      <c r="I154" s="6">
        <f t="shared" si="1"/>
        <v>0</v>
      </c>
      <c r="J154" s="6" t="str">
        <f t="shared" si="2"/>
        <v/>
      </c>
      <c r="K154" s="24"/>
      <c r="L154" s="24"/>
      <c r="M154" s="6"/>
    </row>
    <row r="155" spans="1:13" ht="14" x14ac:dyDescent="0.15">
      <c r="A155" s="26" t="s">
        <v>161</v>
      </c>
      <c r="B155" s="2">
        <f t="shared" si="0"/>
        <v>173.70283030374569</v>
      </c>
      <c r="C155" s="2">
        <f ca="1">IFERROR(__xludf.DUMMYFUNCTION("IFERROR(STDEV.S(FILTER(H178:L178, H178:L178&lt;&gt;"""")))"),2.59245416286416)</f>
        <v>2.59245416286416</v>
      </c>
      <c r="D155" s="47">
        <v>1.492465125E-2</v>
      </c>
      <c r="E155" s="32"/>
      <c r="F155" s="32">
        <v>6067</v>
      </c>
      <c r="G155" s="6">
        <v>6319295</v>
      </c>
      <c r="I155" s="6">
        <f t="shared" si="1"/>
        <v>171.86968838526914</v>
      </c>
      <c r="J155" s="6">
        <f t="shared" si="2"/>
        <v>175.53597222222223</v>
      </c>
      <c r="K155" s="24"/>
      <c r="L155" s="24"/>
      <c r="M155" s="6"/>
    </row>
    <row r="156" spans="1:13" ht="14" x14ac:dyDescent="0.15">
      <c r="A156" s="26" t="s">
        <v>162</v>
      </c>
      <c r="B156" s="2">
        <f t="shared" si="0"/>
        <v>8.6589567201762669</v>
      </c>
      <c r="C156" s="2">
        <f ca="1">IFERROR(__xludf.DUMMYFUNCTION("IFERROR(STDEV.S(FILTER(H180:L180, H180:L180&lt;&gt;"""")))"),0.991344956149026)</f>
        <v>0.99134495614902596</v>
      </c>
      <c r="D156" s="47">
        <v>0.1144878059</v>
      </c>
      <c r="E156" s="32"/>
      <c r="F156" s="32">
        <v>340</v>
      </c>
      <c r="G156" s="6">
        <v>311870</v>
      </c>
      <c r="I156" s="6">
        <f t="shared" si="1"/>
        <v>9.6317280453257794</v>
      </c>
      <c r="J156" s="6">
        <f t="shared" si="2"/>
        <v>8.6630555555555553</v>
      </c>
      <c r="K156" s="24">
        <v>9</v>
      </c>
      <c r="L156" s="24">
        <v>9</v>
      </c>
      <c r="M156" s="6">
        <v>7</v>
      </c>
    </row>
    <row r="157" spans="1:13" ht="14" x14ac:dyDescent="0.15">
      <c r="A157" s="26" t="s">
        <v>163</v>
      </c>
      <c r="B157" s="2">
        <f t="shared" si="0"/>
        <v>662.06250509521567</v>
      </c>
      <c r="C157" s="2">
        <f ca="1">IFERROR(__xludf.DUMMYFUNCTION("IFERROR(STDEV.S(FILTER(H181:L181, H181:L181&lt;&gt;"""")))"),38.3744096834856)</f>
        <v>38.374409683485602</v>
      </c>
      <c r="D157" s="47">
        <v>5.7961913550000001E-2</v>
      </c>
      <c r="E157" s="32"/>
      <c r="F157" s="32">
        <v>21664</v>
      </c>
      <c r="G157" s="27">
        <v>23707403</v>
      </c>
      <c r="I157" s="6">
        <f t="shared" si="1"/>
        <v>613.71104815864032</v>
      </c>
      <c r="J157" s="6">
        <f t="shared" si="2"/>
        <v>658.53897222222224</v>
      </c>
      <c r="K157" s="24">
        <v>707</v>
      </c>
      <c r="L157" s="24">
        <v>669</v>
      </c>
    </row>
    <row r="158" spans="1:13" ht="14" x14ac:dyDescent="0.15">
      <c r="A158" s="26" t="s">
        <v>164</v>
      </c>
      <c r="B158" s="2">
        <f t="shared" si="0"/>
        <v>6.0355917532263145E-2</v>
      </c>
      <c r="C158" s="2">
        <f ca="1">IFERROR(__xludf.DUMMYFUNCTION("IFERROR(STDEV.S(FILTER(H182:L182, H182:L182&lt;&gt;"""")))"),0.00278179858503622)</f>
        <v>2.7817985850362198E-3</v>
      </c>
      <c r="D158" s="47">
        <v>4.6089906319999999E-2</v>
      </c>
      <c r="E158" s="32"/>
      <c r="F158" s="32">
        <v>2.2000000000000002</v>
      </c>
      <c r="G158" s="27">
        <v>2102</v>
      </c>
      <c r="I158" s="6">
        <f t="shared" si="1"/>
        <v>6.2322946175637405E-2</v>
      </c>
      <c r="J158" s="6">
        <f t="shared" si="2"/>
        <v>5.8388888888888886E-2</v>
      </c>
      <c r="K158" s="24"/>
      <c r="L158" s="24"/>
    </row>
    <row r="159" spans="1:13" ht="14" x14ac:dyDescent="0.15">
      <c r="A159" s="26" t="s">
        <v>165</v>
      </c>
      <c r="B159" s="2">
        <f t="shared" si="0"/>
        <v>0</v>
      </c>
      <c r="C159" s="2" t="str">
        <f ca="1">IFERROR(__xludf.DUMMYFUNCTION("IFERROR(STDEV.S(FILTER(H183:L183, H183:L183&lt;&gt;"""")))"),"")</f>
        <v/>
      </c>
      <c r="D159" s="47" t="s">
        <v>277</v>
      </c>
      <c r="E159" s="32"/>
      <c r="F159" s="32">
        <v>0</v>
      </c>
      <c r="G159" s="27"/>
      <c r="I159" s="6">
        <f t="shared" si="1"/>
        <v>0</v>
      </c>
      <c r="J159" s="6" t="str">
        <f t="shared" si="2"/>
        <v/>
      </c>
      <c r="K159" s="24"/>
      <c r="L159" s="24"/>
    </row>
    <row r="160" spans="1:13" ht="28" x14ac:dyDescent="0.15">
      <c r="A160" s="26" t="s">
        <v>166</v>
      </c>
      <c r="B160" s="2">
        <f t="shared" si="0"/>
        <v>0</v>
      </c>
      <c r="C160" s="2" t="str">
        <f ca="1">IFERROR(__xludf.DUMMYFUNCTION("IFERROR(STDEV.S(FILTER(H184:L184, H184:L184&lt;&gt;"""")))"),"")</f>
        <v/>
      </c>
      <c r="D160" s="47" t="s">
        <v>277</v>
      </c>
      <c r="E160" s="32"/>
      <c r="F160" s="32">
        <v>0</v>
      </c>
      <c r="G160" s="27"/>
      <c r="I160" s="6">
        <f t="shared" si="1"/>
        <v>0</v>
      </c>
      <c r="J160" s="6" t="str">
        <f t="shared" si="2"/>
        <v/>
      </c>
      <c r="K160" s="24"/>
      <c r="L160" s="24"/>
    </row>
    <row r="161" spans="1:13" ht="14" x14ac:dyDescent="0.15">
      <c r="A161" s="26" t="s">
        <v>167</v>
      </c>
      <c r="B161" s="2">
        <f t="shared" si="0"/>
        <v>0</v>
      </c>
      <c r="C161" s="2" t="str">
        <f ca="1">IFERROR(__xludf.DUMMYFUNCTION("IFERROR(STDEV.S(FILTER(H185:L185, H185:L185&lt;&gt;"""")))"),"")</f>
        <v/>
      </c>
      <c r="D161" s="47" t="s">
        <v>277</v>
      </c>
      <c r="E161" s="32"/>
      <c r="F161" s="32">
        <v>0</v>
      </c>
      <c r="G161" s="27"/>
      <c r="I161" s="6">
        <f t="shared" si="1"/>
        <v>0</v>
      </c>
      <c r="J161" s="6" t="str">
        <f t="shared" si="2"/>
        <v/>
      </c>
      <c r="K161" s="24"/>
      <c r="L161" s="24"/>
    </row>
    <row r="162" spans="1:13" ht="28" x14ac:dyDescent="0.15">
      <c r="A162" s="26" t="s">
        <v>168</v>
      </c>
      <c r="B162" s="2">
        <f t="shared" si="0"/>
        <v>0</v>
      </c>
      <c r="C162" s="2" t="str">
        <f ca="1">IFERROR(__xludf.DUMMYFUNCTION("IFERROR(STDEV.S(FILTER(H186:L186, H186:L186&lt;&gt;"""")))"),"")</f>
        <v/>
      </c>
      <c r="D162" s="47" t="s">
        <v>277</v>
      </c>
      <c r="E162" s="32"/>
      <c r="F162" s="32">
        <v>0</v>
      </c>
      <c r="G162" s="27"/>
      <c r="I162" s="6">
        <f t="shared" si="1"/>
        <v>0</v>
      </c>
      <c r="J162" s="6" t="str">
        <f t="shared" si="2"/>
        <v/>
      </c>
      <c r="K162" s="24"/>
      <c r="L162" s="24"/>
    </row>
    <row r="163" spans="1:13" ht="42" x14ac:dyDescent="0.15">
      <c r="A163" s="26" t="s">
        <v>232</v>
      </c>
      <c r="B163" s="2">
        <f t="shared" si="0"/>
        <v>0</v>
      </c>
      <c r="C163" s="2" t="str">
        <f ca="1">IFERROR(__xludf.DUMMYFUNCTION("IFERROR(STDEV.S(FILTER(H187:L187, H187:L187&lt;&gt;"""")))"),"")</f>
        <v/>
      </c>
      <c r="D163" s="47" t="s">
        <v>277</v>
      </c>
      <c r="E163" s="32"/>
      <c r="F163" s="32">
        <v>0</v>
      </c>
      <c r="G163" s="27"/>
      <c r="I163" s="6">
        <f t="shared" si="1"/>
        <v>0</v>
      </c>
      <c r="J163" s="6" t="str">
        <f t="shared" si="2"/>
        <v/>
      </c>
      <c r="K163" s="24"/>
      <c r="L163" s="24"/>
    </row>
    <row r="164" spans="1:13" ht="14" x14ac:dyDescent="0.15">
      <c r="A164" s="26" t="s">
        <v>170</v>
      </c>
      <c r="B164" s="2">
        <f t="shared" si="0"/>
        <v>0</v>
      </c>
      <c r="C164" s="2" t="str">
        <f ca="1">IFERROR(__xludf.DUMMYFUNCTION("IFERROR(STDEV.S(FILTER(H188:L188, H188:L188&lt;&gt;"""")))"),"")</f>
        <v/>
      </c>
      <c r="D164" s="47" t="s">
        <v>277</v>
      </c>
      <c r="E164" s="32"/>
      <c r="F164" s="32">
        <v>0</v>
      </c>
      <c r="G164" s="27"/>
      <c r="I164" s="6">
        <f t="shared" si="1"/>
        <v>0</v>
      </c>
      <c r="J164" s="6" t="str">
        <f t="shared" si="2"/>
        <v/>
      </c>
      <c r="K164" s="24"/>
      <c r="L164" s="24"/>
    </row>
    <row r="165" spans="1:13" ht="28" x14ac:dyDescent="0.15">
      <c r="A165" s="26" t="s">
        <v>171</v>
      </c>
      <c r="B165" s="2">
        <f t="shared" si="0"/>
        <v>0</v>
      </c>
      <c r="C165" s="2" t="str">
        <f ca="1">IFERROR(__xludf.DUMMYFUNCTION("IFERROR(STDEV.S(FILTER(H189:L189, H189:L189&lt;&gt;"""")))"),"")</f>
        <v/>
      </c>
      <c r="D165" s="47" t="s">
        <v>277</v>
      </c>
      <c r="E165" s="32"/>
      <c r="F165" s="32">
        <v>0</v>
      </c>
      <c r="G165" s="27"/>
      <c r="I165" s="6">
        <f t="shared" si="1"/>
        <v>0</v>
      </c>
      <c r="J165" s="6" t="str">
        <f t="shared" si="2"/>
        <v/>
      </c>
      <c r="K165" s="24"/>
      <c r="L165" s="24"/>
    </row>
    <row r="166" spans="1:13" ht="14" x14ac:dyDescent="0.15">
      <c r="A166" s="26" t="s">
        <v>172</v>
      </c>
      <c r="B166" s="2">
        <f t="shared" si="0"/>
        <v>123.46785660607492</v>
      </c>
      <c r="C166" s="2">
        <f ca="1">IFERROR(__xludf.DUMMYFUNCTION("IFERROR(STDEV.S(FILTER(H190:L190, H190:L190&lt;&gt;"""")))"),16.7532224552713)</f>
        <v>16.753222455271299</v>
      </c>
      <c r="D166" s="47">
        <v>0.1356889389</v>
      </c>
      <c r="E166" s="32"/>
      <c r="F166" s="32">
        <v>4281</v>
      </c>
      <c r="G166" s="27">
        <v>3621479</v>
      </c>
      <c r="I166" s="6">
        <f t="shared" si="1"/>
        <v>121.27478753541078</v>
      </c>
      <c r="J166" s="6">
        <f t="shared" si="2"/>
        <v>100.59663888888889</v>
      </c>
      <c r="K166" s="24">
        <v>136</v>
      </c>
      <c r="L166" s="24">
        <v>136</v>
      </c>
    </row>
    <row r="167" spans="1:13" ht="14" x14ac:dyDescent="0.15">
      <c r="A167" s="26" t="s">
        <v>173</v>
      </c>
      <c r="B167" s="2">
        <f t="shared" si="0"/>
        <v>1.9483278249921313E-2</v>
      </c>
      <c r="C167" s="2">
        <f ca="1">IFERROR(__xludf.DUMMYFUNCTION("IFERROR(STDEV.S(FILTER(H191:L191, H191:L191&lt;&gt;"""")))"),0.0205217322387279)</f>
        <v>2.0521732238727899E-2</v>
      </c>
      <c r="D167" s="47">
        <v>1.053299757</v>
      </c>
      <c r="E167" s="32"/>
      <c r="F167" s="32">
        <v>1.2</v>
      </c>
      <c r="G167" s="6">
        <v>179</v>
      </c>
      <c r="I167" s="6">
        <f t="shared" si="1"/>
        <v>3.39943342776204E-2</v>
      </c>
      <c r="J167" s="6">
        <f t="shared" si="2"/>
        <v>4.9722222222222225E-3</v>
      </c>
      <c r="K167" s="24"/>
      <c r="L167" s="24"/>
    </row>
    <row r="168" spans="1:13" ht="14" x14ac:dyDescent="0.15">
      <c r="A168" s="26" t="s">
        <v>174</v>
      </c>
      <c r="B168" s="2">
        <f t="shared" si="0"/>
        <v>0.32179111583254644</v>
      </c>
      <c r="C168" s="2">
        <f ca="1">IFERROR(__xludf.DUMMYFUNCTION("IFERROR(STDEV.S(FILTER(H192:L192, H192:L192&lt;&gt;"""")))"),0.0256711255309948)</f>
        <v>2.56711255309948E-2</v>
      </c>
      <c r="D168" s="47">
        <v>7.9775743539999999E-2</v>
      </c>
      <c r="E168" s="32"/>
      <c r="F168" s="32">
        <v>12</v>
      </c>
      <c r="G168" s="6">
        <v>10931</v>
      </c>
      <c r="I168" s="6">
        <f t="shared" si="1"/>
        <v>0.33994334277620397</v>
      </c>
      <c r="J168" s="6">
        <f t="shared" si="2"/>
        <v>0.3036388888888889</v>
      </c>
      <c r="K168" s="24"/>
      <c r="L168" s="24"/>
    </row>
    <row r="169" spans="1:13" ht="14" x14ac:dyDescent="0.15">
      <c r="A169" s="26" t="s">
        <v>175</v>
      </c>
      <c r="B169" s="2">
        <f t="shared" si="0"/>
        <v>0</v>
      </c>
      <c r="C169" s="2" t="str">
        <f ca="1">IFERROR(__xludf.DUMMYFUNCTION("IFERROR(STDEV.S(FILTER(H193:L193, H193:L193&lt;&gt;"""")))"),"")</f>
        <v/>
      </c>
      <c r="D169" s="47" t="s">
        <v>277</v>
      </c>
      <c r="E169" s="32"/>
      <c r="F169" s="32">
        <v>0</v>
      </c>
      <c r="G169" s="6"/>
      <c r="I169" s="6">
        <f t="shared" si="1"/>
        <v>0</v>
      </c>
      <c r="J169" s="6" t="str">
        <f t="shared" si="2"/>
        <v/>
      </c>
      <c r="K169" s="24"/>
      <c r="L169" s="24"/>
    </row>
    <row r="170" spans="1:13" ht="14" x14ac:dyDescent="0.15">
      <c r="A170" s="26" t="s">
        <v>176</v>
      </c>
      <c r="B170" s="2">
        <f t="shared" si="0"/>
        <v>0</v>
      </c>
      <c r="C170" s="2" t="str">
        <f ca="1">IFERROR(__xludf.DUMMYFUNCTION("IFERROR(STDEV.S(FILTER(H194:L194, H194:L194&lt;&gt;"""")))"),"")</f>
        <v/>
      </c>
      <c r="D170" s="47" t="s">
        <v>277</v>
      </c>
      <c r="E170" s="32"/>
      <c r="F170" s="32">
        <v>0</v>
      </c>
      <c r="G170" s="6"/>
      <c r="I170" s="6">
        <f t="shared" si="1"/>
        <v>0</v>
      </c>
      <c r="J170" s="6" t="str">
        <f t="shared" si="2"/>
        <v/>
      </c>
      <c r="K170" s="24"/>
      <c r="L170" s="24"/>
    </row>
    <row r="171" spans="1:13" ht="14" x14ac:dyDescent="0.15">
      <c r="A171" s="26" t="s">
        <v>177</v>
      </c>
      <c r="B171" s="2">
        <f t="shared" si="0"/>
        <v>0</v>
      </c>
      <c r="C171" s="2" t="str">
        <f ca="1">IFERROR(__xludf.DUMMYFUNCTION("IFERROR(STDEV.S(FILTER(H195:L195, H195:L195&lt;&gt;"""")))"),"")</f>
        <v/>
      </c>
      <c r="D171" s="47" t="s">
        <v>277</v>
      </c>
      <c r="E171" s="32"/>
      <c r="F171" s="32">
        <v>0</v>
      </c>
      <c r="G171" s="6"/>
      <c r="I171" s="6">
        <f t="shared" si="1"/>
        <v>0</v>
      </c>
      <c r="J171" s="6" t="str">
        <f t="shared" si="2"/>
        <v/>
      </c>
      <c r="K171" s="24" t="s">
        <v>231</v>
      </c>
      <c r="L171" s="24" t="s">
        <v>231</v>
      </c>
    </row>
    <row r="172" spans="1:13" ht="14" x14ac:dyDescent="0.15">
      <c r="A172" s="7" t="s">
        <v>233</v>
      </c>
      <c r="B172" s="2">
        <f t="shared" si="0"/>
        <v>4.6996222851746934E-2</v>
      </c>
      <c r="C172" s="2">
        <f ca="1">IFERROR(__xludf.DUMMYFUNCTION("IFERROR(STDEV.S(FILTER(H196:L196, H196:L196&lt;&gt;"""")))"),0.00236236429824173)</f>
        <v>2.36236429824173E-3</v>
      </c>
      <c r="D172" s="47">
        <v>5.0267109880000001E-2</v>
      </c>
      <c r="E172" s="32"/>
      <c r="F172" s="32">
        <v>1.6</v>
      </c>
      <c r="G172" s="6">
        <v>1752</v>
      </c>
      <c r="I172" s="6">
        <f t="shared" si="1"/>
        <v>4.5325779036827205E-2</v>
      </c>
      <c r="J172" s="6">
        <f t="shared" si="2"/>
        <v>4.8666666666666664E-2</v>
      </c>
    </row>
    <row r="173" spans="1:13" ht="14" x14ac:dyDescent="0.15">
      <c r="A173" s="7" t="s">
        <v>179</v>
      </c>
      <c r="B173" s="2">
        <f t="shared" si="0"/>
        <v>3.6386528171230724E-3</v>
      </c>
      <c r="C173" s="2">
        <f ca="1">IFERROR(__xludf.DUMMYFUNCTION("IFERROR(STDEV.S(FILTER(H197:L197, H197:L197&lt;&gt;"""")))"),0.00113956144780457)</f>
        <v>1.13956144780457E-3</v>
      </c>
      <c r="D173" s="47">
        <v>0.31318224220000002</v>
      </c>
      <c r="E173" s="32"/>
      <c r="F173" s="32">
        <v>0.1</v>
      </c>
      <c r="G173" s="6">
        <v>160</v>
      </c>
      <c r="I173" s="6">
        <f t="shared" si="1"/>
        <v>2.8328611898017003E-3</v>
      </c>
      <c r="J173" s="6">
        <f t="shared" si="2"/>
        <v>4.4444444444444444E-3</v>
      </c>
    </row>
    <row r="174" spans="1:13" ht="14" x14ac:dyDescent="0.15">
      <c r="A174" s="7" t="s">
        <v>284</v>
      </c>
      <c r="B174" s="2">
        <f t="shared" si="0"/>
        <v>0</v>
      </c>
      <c r="C174" s="2" t="str">
        <f ca="1">IFERROR(__xludf.DUMMYFUNCTION("IFERROR(STDEV.S(FILTER(H198:L198, H198:L198&lt;&gt;"""")))"),"")</f>
        <v/>
      </c>
      <c r="D174" s="47" t="s">
        <v>277</v>
      </c>
      <c r="E174" s="32"/>
      <c r="F174" s="32">
        <v>0</v>
      </c>
      <c r="I174" s="6">
        <f t="shared" si="1"/>
        <v>0</v>
      </c>
      <c r="J174" s="6" t="str">
        <f t="shared" si="2"/>
        <v/>
      </c>
    </row>
    <row r="175" spans="1:13" ht="14" x14ac:dyDescent="0.15">
      <c r="A175" s="7" t="s">
        <v>180</v>
      </c>
      <c r="B175" s="2">
        <f t="shared" si="0"/>
        <v>0</v>
      </c>
      <c r="C175" s="2" t="str">
        <f ca="1">IFERROR(__xludf.DUMMYFUNCTION("IFERROR(STDEV.S(FILTER(H199:L199, H199:L199&lt;&gt;"""")))"),"")</f>
        <v/>
      </c>
      <c r="D175" s="47" t="s">
        <v>277</v>
      </c>
      <c r="E175" s="32"/>
      <c r="F175" s="32">
        <v>0</v>
      </c>
      <c r="I175" s="6">
        <f t="shared" si="1"/>
        <v>0</v>
      </c>
      <c r="J175" s="6" t="str">
        <f t="shared" si="2"/>
        <v/>
      </c>
    </row>
    <row r="176" spans="1:13" ht="14" x14ac:dyDescent="0.15">
      <c r="A176" s="26" t="s">
        <v>181</v>
      </c>
      <c r="B176" s="2">
        <f t="shared" si="0"/>
        <v>0.11535338369531005</v>
      </c>
      <c r="C176" s="2">
        <f ca="1">IFERROR(__xludf.DUMMYFUNCTION("IFERROR(STDEV.S(FILTER(H200:L200, H200:L200&lt;&gt;"""")))"),0.216707222702018)</f>
        <v>0.216707222702018</v>
      </c>
      <c r="D176" s="47">
        <v>1.878637763</v>
      </c>
      <c r="E176" s="32"/>
      <c r="F176" s="32">
        <v>2.2999999999999998</v>
      </c>
      <c r="G176" s="6">
        <v>418</v>
      </c>
      <c r="I176" s="6">
        <f t="shared" si="1"/>
        <v>6.5155807365439092E-2</v>
      </c>
      <c r="J176" s="6">
        <f t="shared" si="2"/>
        <v>1.161111111111111E-2</v>
      </c>
      <c r="K176" s="24">
        <v>0</v>
      </c>
      <c r="L176" s="24">
        <v>0</v>
      </c>
      <c r="M176" s="6">
        <v>0.5</v>
      </c>
    </row>
    <row r="177" spans="1:13" ht="14" x14ac:dyDescent="0.15">
      <c r="A177" s="26" t="s">
        <v>182</v>
      </c>
      <c r="B177" s="2">
        <f t="shared" si="0"/>
        <v>1.4375000000000001E-2</v>
      </c>
      <c r="C177" s="2">
        <f ca="1">IFERROR(__xludf.DUMMYFUNCTION("IFERROR(STDEV.S(FILTER(H201:L201, H201:L201&lt;&gt;"""")))"),0.02875)</f>
        <v>2.8750000000000001E-2</v>
      </c>
      <c r="D177" s="47">
        <v>2</v>
      </c>
      <c r="E177" s="32"/>
      <c r="F177" s="32">
        <v>0</v>
      </c>
      <c r="G177" s="6">
        <v>2070</v>
      </c>
      <c r="I177" s="6">
        <f t="shared" si="1"/>
        <v>0</v>
      </c>
      <c r="J177" s="6">
        <f t="shared" si="2"/>
        <v>5.7500000000000002E-2</v>
      </c>
      <c r="K177" s="24">
        <v>0</v>
      </c>
      <c r="L177" s="24">
        <v>0</v>
      </c>
    </row>
    <row r="178" spans="1:13" ht="14" x14ac:dyDescent="0.15">
      <c r="A178" s="46" t="s">
        <v>286</v>
      </c>
      <c r="B178" s="2">
        <f t="shared" si="0"/>
        <v>0</v>
      </c>
      <c r="C178" s="2" t="str">
        <f ca="1">IFERROR(__xludf.DUMMYFUNCTION("IFERROR(STDEV.S(FILTER(H202:L202, H202:L202&lt;&gt;"""")))"),"")</f>
        <v/>
      </c>
      <c r="D178" s="47" t="s">
        <v>277</v>
      </c>
      <c r="E178" s="32"/>
      <c r="F178" s="32">
        <v>0</v>
      </c>
      <c r="G178" s="6"/>
      <c r="I178" s="6">
        <f t="shared" si="1"/>
        <v>0</v>
      </c>
      <c r="J178" s="6" t="str">
        <f t="shared" si="2"/>
        <v/>
      </c>
      <c r="K178" s="24"/>
      <c r="L178" s="24"/>
    </row>
    <row r="179" spans="1:13" ht="14" x14ac:dyDescent="0.15">
      <c r="A179" s="26" t="s">
        <v>183</v>
      </c>
      <c r="B179" s="2">
        <f t="shared" si="0"/>
        <v>1.5318028013849544E-2</v>
      </c>
      <c r="C179" s="2">
        <f ca="1">IFERROR(__xludf.DUMMYFUNCTION("IFERROR(STDEV.S(FILTER(H203:L203, H203:L203&lt;&gt;"""")))"),0.0178990129573309)</f>
        <v>1.7899012957330901E-2</v>
      </c>
      <c r="D179" s="47">
        <v>1.16849329</v>
      </c>
      <c r="E179" s="32"/>
      <c r="F179" s="32">
        <v>1.2</v>
      </c>
      <c r="G179" s="6">
        <v>982</v>
      </c>
      <c r="I179" s="6">
        <f t="shared" si="1"/>
        <v>3.39943342776204E-2</v>
      </c>
      <c r="J179" s="6">
        <f t="shared" si="2"/>
        <v>2.7277777777777779E-2</v>
      </c>
      <c r="K179" s="24">
        <v>0</v>
      </c>
      <c r="L179" s="24">
        <v>0</v>
      </c>
    </row>
    <row r="180" spans="1:13" ht="14" x14ac:dyDescent="0.15">
      <c r="A180" s="26" t="s">
        <v>184</v>
      </c>
      <c r="B180" s="2">
        <f t="shared" si="0"/>
        <v>0</v>
      </c>
      <c r="C180" s="2" t="str">
        <f ca="1">IFERROR(__xludf.DUMMYFUNCTION("IFERROR(STDEV.S(FILTER(H204:L204, H204:L204&lt;&gt;"""")))"),"")</f>
        <v/>
      </c>
      <c r="D180" s="47" t="s">
        <v>277</v>
      </c>
      <c r="E180" s="32"/>
      <c r="F180" s="32">
        <v>0</v>
      </c>
      <c r="G180" s="6"/>
      <c r="I180" s="6">
        <f t="shared" si="1"/>
        <v>0</v>
      </c>
      <c r="J180" s="6" t="str">
        <f t="shared" si="2"/>
        <v/>
      </c>
      <c r="K180" s="24"/>
      <c r="L180" s="24"/>
    </row>
    <row r="181" spans="1:13" ht="14" x14ac:dyDescent="0.15">
      <c r="A181" s="26" t="s">
        <v>185</v>
      </c>
      <c r="B181" s="2">
        <f t="shared" si="0"/>
        <v>0</v>
      </c>
      <c r="C181" s="2" t="str">
        <f ca="1">IFERROR(__xludf.DUMMYFUNCTION("IFERROR(STDEV.S(FILTER(H205:L205, H205:L205&lt;&gt;"""")))"),"")</f>
        <v/>
      </c>
      <c r="D181" s="47" t="s">
        <v>277</v>
      </c>
      <c r="E181" s="32"/>
      <c r="F181" s="32">
        <v>0</v>
      </c>
      <c r="G181" s="6"/>
      <c r="I181" s="6">
        <f t="shared" si="1"/>
        <v>0</v>
      </c>
      <c r="J181" s="6" t="str">
        <f t="shared" si="2"/>
        <v/>
      </c>
      <c r="K181" s="24"/>
      <c r="L181" s="24"/>
    </row>
    <row r="182" spans="1:13" ht="14" x14ac:dyDescent="0.15">
      <c r="A182" s="26" t="s">
        <v>186</v>
      </c>
      <c r="B182" s="2">
        <f t="shared" si="0"/>
        <v>7.6659584513692168E-3</v>
      </c>
      <c r="C182" s="2">
        <f ca="1">IFERROR(__xludf.DUMMYFUNCTION("IFERROR(STDEV.S(FILTER(H206:L206, H206:L206&lt;&gt;"""")))"),0.00117750973429884)</f>
        <v>1.17750973429884E-3</v>
      </c>
      <c r="D182" s="47">
        <v>0.1536024154</v>
      </c>
      <c r="E182" s="32"/>
      <c r="F182" s="32">
        <v>0.3</v>
      </c>
      <c r="G182" s="6">
        <v>246</v>
      </c>
      <c r="I182" s="6">
        <f t="shared" si="1"/>
        <v>8.4985835694051E-3</v>
      </c>
      <c r="J182" s="6">
        <f t="shared" si="2"/>
        <v>6.8333333333333336E-3</v>
      </c>
      <c r="K182" s="24"/>
      <c r="L182" s="24"/>
    </row>
    <row r="183" spans="1:13" ht="14" x14ac:dyDescent="0.15">
      <c r="A183" s="26" t="s">
        <v>187</v>
      </c>
      <c r="B183" s="2">
        <f t="shared" si="0"/>
        <v>0</v>
      </c>
      <c r="C183" s="2" t="str">
        <f ca="1">IFERROR(__xludf.DUMMYFUNCTION("IFERROR(STDEV.S(FILTER(H207:L207, H207:L207&lt;&gt;"""")))"),"")</f>
        <v/>
      </c>
      <c r="D183" s="47" t="s">
        <v>277</v>
      </c>
      <c r="E183" s="32"/>
      <c r="F183" s="32">
        <v>0</v>
      </c>
      <c r="G183" s="6"/>
      <c r="I183" s="6">
        <f t="shared" si="1"/>
        <v>0</v>
      </c>
      <c r="J183" s="6" t="str">
        <f t="shared" si="2"/>
        <v/>
      </c>
      <c r="K183" s="24" t="s">
        <v>231</v>
      </c>
      <c r="L183" s="24" t="s">
        <v>231</v>
      </c>
    </row>
    <row r="184" spans="1:13" ht="14" x14ac:dyDescent="0.15">
      <c r="A184" s="26" t="s">
        <v>188</v>
      </c>
      <c r="B184" s="2">
        <f t="shared" si="0"/>
        <v>0</v>
      </c>
      <c r="C184" s="2" t="str">
        <f ca="1">IFERROR(__xludf.DUMMYFUNCTION("IFERROR(STDEV.S(FILTER(H208:L208, H208:L208&lt;&gt;"""")))"),"")</f>
        <v/>
      </c>
      <c r="D184" s="47" t="s">
        <v>277</v>
      </c>
      <c r="E184" s="32"/>
      <c r="F184" s="32">
        <v>0</v>
      </c>
      <c r="I184" s="6">
        <f t="shared" si="1"/>
        <v>0</v>
      </c>
      <c r="J184" s="6" t="str">
        <f t="shared" si="2"/>
        <v/>
      </c>
      <c r="K184" s="24"/>
      <c r="L184" s="24"/>
    </row>
    <row r="185" spans="1:13" ht="14" x14ac:dyDescent="0.15">
      <c r="A185" s="26" t="s">
        <v>189</v>
      </c>
      <c r="B185" s="2">
        <f t="shared" si="0"/>
        <v>2.6604630941139442</v>
      </c>
      <c r="C185" s="2">
        <f ca="1">IFERROR(__xludf.DUMMYFUNCTION("IFERROR(STDEV.S(FILTER(H209:L209, H209:L209&lt;&gt;"""")))"),0.16368231075016)</f>
        <v>0.16368231075015999</v>
      </c>
      <c r="D185" s="47">
        <v>6.1523992239999999E-2</v>
      </c>
      <c r="E185" s="32"/>
      <c r="F185" s="32">
        <v>98</v>
      </c>
      <c r="G185" s="6">
        <v>91610</v>
      </c>
      <c r="I185" s="6">
        <f t="shared" si="1"/>
        <v>2.7762039660056659</v>
      </c>
      <c r="J185" s="6">
        <f t="shared" si="2"/>
        <v>2.5447222222222221</v>
      </c>
      <c r="K185" s="24"/>
      <c r="L185" s="24"/>
    </row>
    <row r="186" spans="1:13" ht="14" x14ac:dyDescent="0.15">
      <c r="A186" s="26" t="s">
        <v>190</v>
      </c>
      <c r="B186" s="2">
        <f t="shared" si="0"/>
        <v>1.9830028328611901E-2</v>
      </c>
      <c r="C186" s="2">
        <f ca="1">IFERROR(__xludf.DUMMYFUNCTION("IFERROR(STDEV.S(FILTER(H210:L210, H210:L210&lt;&gt;"""")))"),0.0343466165806859)</f>
        <v>3.4346616580685899E-2</v>
      </c>
      <c r="D186" s="47">
        <v>1.7320508080000001</v>
      </c>
      <c r="E186" s="32"/>
      <c r="F186" s="32">
        <v>2.1</v>
      </c>
      <c r="I186" s="6">
        <f t="shared" si="1"/>
        <v>5.9490084985835703E-2</v>
      </c>
      <c r="J186" s="6" t="str">
        <f t="shared" si="2"/>
        <v/>
      </c>
      <c r="K186" s="24">
        <v>0</v>
      </c>
      <c r="L186" s="24">
        <v>0</v>
      </c>
    </row>
    <row r="187" spans="1:13" ht="14" x14ac:dyDescent="0.15">
      <c r="A187" s="26" t="s">
        <v>191</v>
      </c>
      <c r="B187" s="2">
        <f t="shared" si="0"/>
        <v>1.0248347497639282E-2</v>
      </c>
      <c r="C187" s="2">
        <f ca="1">IFERROR(__xludf.DUMMYFUNCTION("IFERROR(STDEV.S(FILTER(H211:L211, H211:L211&lt;&gt;"""")))"),0.0135505429814917)</f>
        <v>1.3550542981491699E-2</v>
      </c>
      <c r="D187" s="47">
        <v>1.3222173610000001</v>
      </c>
      <c r="E187" s="32"/>
      <c r="F187" s="32">
        <v>0.7</v>
      </c>
      <c r="G187" s="6">
        <v>24</v>
      </c>
      <c r="I187" s="6">
        <f t="shared" si="1"/>
        <v>1.9830028328611898E-2</v>
      </c>
      <c r="J187" s="6">
        <f t="shared" si="2"/>
        <v>6.6666666666666664E-4</v>
      </c>
      <c r="K187" s="24"/>
      <c r="L187" s="24"/>
    </row>
    <row r="188" spans="1:13" ht="14" x14ac:dyDescent="0.15">
      <c r="A188" s="26" t="s">
        <v>192</v>
      </c>
      <c r="B188" s="2">
        <f t="shared" si="0"/>
        <v>2.0729435001573813</v>
      </c>
      <c r="C188" s="2">
        <f ca="1">IFERROR(__xludf.DUMMYFUNCTION("IFERROR(STDEV.S(FILTER(H212:L212, H212:L212&lt;&gt;"""")))"),0.0871326043497805)</f>
        <v>8.7132604349780499E-2</v>
      </c>
      <c r="D188" s="47">
        <v>4.2033275070000001E-2</v>
      </c>
      <c r="E188" s="32"/>
      <c r="F188" s="32">
        <v>71</v>
      </c>
      <c r="G188" s="6">
        <v>76844</v>
      </c>
      <c r="I188" s="6">
        <f t="shared" si="1"/>
        <v>2.011331444759207</v>
      </c>
      <c r="J188" s="6">
        <f t="shared" si="2"/>
        <v>2.1345555555555555</v>
      </c>
      <c r="K188" s="24"/>
      <c r="L188" s="24"/>
    </row>
    <row r="189" spans="1:13" ht="14" x14ac:dyDescent="0.15">
      <c r="A189" s="26" t="s">
        <v>193</v>
      </c>
      <c r="B189" s="2">
        <f t="shared" si="0"/>
        <v>25.825654233553667</v>
      </c>
      <c r="C189" s="2">
        <f ca="1">IFERROR(__xludf.DUMMYFUNCTION("IFERROR(STDEV.S(FILTER(H213:L213, H213:L213&lt;&gt;"""")))"),2.61359403746361)</f>
        <v>2.61359403746361</v>
      </c>
      <c r="D189" s="47">
        <v>0.1012014648</v>
      </c>
      <c r="E189" s="32"/>
      <c r="F189" s="32">
        <v>1046</v>
      </c>
      <c r="G189" s="6">
        <v>852152</v>
      </c>
      <c r="I189" s="6">
        <f t="shared" si="1"/>
        <v>29.631728045325783</v>
      </c>
      <c r="J189" s="6">
        <f t="shared" si="2"/>
        <v>23.670888888888889</v>
      </c>
      <c r="K189" s="24">
        <v>25</v>
      </c>
      <c r="L189" s="24">
        <v>25</v>
      </c>
    </row>
    <row r="190" spans="1:13" ht="14" x14ac:dyDescent="0.15">
      <c r="A190" s="46" t="s">
        <v>27</v>
      </c>
      <c r="B190" s="2">
        <f t="shared" si="0"/>
        <v>0</v>
      </c>
      <c r="C190" s="2" t="str">
        <f ca="1">IFERROR(__xludf.DUMMYFUNCTION("IFERROR(STDEV.S(FILTER(H214:L214, H214:L214&lt;&gt;"""")))"),"")</f>
        <v/>
      </c>
      <c r="D190" s="47" t="s">
        <v>277</v>
      </c>
      <c r="E190" s="32"/>
      <c r="F190" s="32">
        <v>0</v>
      </c>
      <c r="G190" s="6"/>
      <c r="I190" s="6">
        <f t="shared" si="1"/>
        <v>0</v>
      </c>
      <c r="J190" s="6" t="str">
        <f t="shared" si="2"/>
        <v/>
      </c>
      <c r="K190" s="24"/>
      <c r="L190" s="24"/>
      <c r="M190" s="6"/>
    </row>
    <row r="191" spans="1:13" ht="14" x14ac:dyDescent="0.15">
      <c r="A191" s="26" t="s">
        <v>234</v>
      </c>
      <c r="B191" s="2">
        <f t="shared" si="0"/>
        <v>0.50991501416430596</v>
      </c>
      <c r="C191" s="2" t="str">
        <f ca="1">IFERROR(__xludf.DUMMYFUNCTION("IFERROR(STDEV.S(FILTER(H215:L215, H215:L215&lt;&gt;"""")))"),"")</f>
        <v/>
      </c>
      <c r="D191" s="47">
        <v>0</v>
      </c>
      <c r="E191" s="32"/>
      <c r="F191" s="32">
        <v>18</v>
      </c>
      <c r="G191" s="6"/>
      <c r="I191" s="6">
        <f t="shared" si="1"/>
        <v>0.50991501416430596</v>
      </c>
      <c r="J191" s="6" t="str">
        <f t="shared" si="2"/>
        <v/>
      </c>
      <c r="K191" s="24"/>
      <c r="L191" s="24"/>
      <c r="M191" s="6"/>
    </row>
    <row r="192" spans="1:13" ht="14" x14ac:dyDescent="0.15">
      <c r="A192" s="26" t="s">
        <v>194</v>
      </c>
      <c r="B192" s="2">
        <f t="shared" si="0"/>
        <v>0</v>
      </c>
      <c r="C192" s="2" t="str">
        <f ca="1">IFERROR(__xludf.DUMMYFUNCTION("IFERROR(STDEV.S(FILTER(H216:L216, H216:L216&lt;&gt;"""")))"),"")</f>
        <v/>
      </c>
      <c r="D192" s="47" t="s">
        <v>277</v>
      </c>
      <c r="E192" s="32"/>
      <c r="F192" s="32">
        <v>0</v>
      </c>
      <c r="G192" s="6"/>
      <c r="I192" s="6">
        <f t="shared" si="1"/>
        <v>0</v>
      </c>
      <c r="J192" s="6" t="str">
        <f t="shared" si="2"/>
        <v/>
      </c>
      <c r="K192" s="24"/>
      <c r="L192" s="24"/>
      <c r="M192" s="6"/>
    </row>
    <row r="193" spans="1:13" ht="14" x14ac:dyDescent="0.15">
      <c r="A193" s="26" t="s">
        <v>195</v>
      </c>
      <c r="B193" s="2">
        <f t="shared" si="0"/>
        <v>0</v>
      </c>
      <c r="C193" s="2" t="str">
        <f ca="1">IFERROR(__xludf.DUMMYFUNCTION("IFERROR(STDEV.S(FILTER(H217:L217, H217:L217&lt;&gt;"""")))"),"")</f>
        <v/>
      </c>
      <c r="D193" s="47" t="s">
        <v>277</v>
      </c>
      <c r="E193" s="32"/>
      <c r="F193" s="32">
        <v>0</v>
      </c>
      <c r="G193" s="6"/>
      <c r="I193" s="6">
        <f t="shared" si="1"/>
        <v>0</v>
      </c>
      <c r="J193" s="6" t="str">
        <f t="shared" si="2"/>
        <v/>
      </c>
      <c r="K193" s="24"/>
      <c r="L193" s="24"/>
      <c r="M193" s="6"/>
    </row>
    <row r="194" spans="1:13" ht="28" x14ac:dyDescent="0.15">
      <c r="A194" s="26" t="s">
        <v>196</v>
      </c>
      <c r="B194" s="2">
        <f t="shared" si="0"/>
        <v>26.462207861189803</v>
      </c>
      <c r="C194" s="2">
        <f ca="1">IFERROR(__xludf.DUMMYFUNCTION("IFERROR(STDEV.S(FILTER(H218:L218, H218:L218&lt;&gt;"""")))"),0.6456480845002)</f>
        <v>0.64564808450019995</v>
      </c>
      <c r="D194" s="47">
        <v>2.4398874349999999E-2</v>
      </c>
      <c r="E194" s="32"/>
      <c r="F194" s="32">
        <v>918</v>
      </c>
      <c r="G194" s="6">
        <v>969075</v>
      </c>
      <c r="I194" s="6">
        <f t="shared" si="1"/>
        <v>26.005665722379604</v>
      </c>
      <c r="J194" s="6">
        <f t="shared" si="2"/>
        <v>26.918749999999999</v>
      </c>
      <c r="K194" s="24"/>
      <c r="L194" s="24"/>
      <c r="M194" s="6"/>
    </row>
    <row r="195" spans="1:13" ht="14" x14ac:dyDescent="0.15">
      <c r="A195" s="26" t="s">
        <v>197</v>
      </c>
      <c r="B195" s="2">
        <f t="shared" si="0"/>
        <v>1.8794747403210579</v>
      </c>
      <c r="C195" s="2">
        <f ca="1">IFERROR(__xludf.DUMMYFUNCTION("IFERROR(STDEV.S(FILTER(H219:L219, H219:L219&lt;&gt;"""")))"),0.815094139028235)</f>
        <v>0.81509413902823502</v>
      </c>
      <c r="D195" s="47">
        <v>0.43368188009999997</v>
      </c>
      <c r="E195" s="32"/>
      <c r="F195" s="32">
        <v>46</v>
      </c>
      <c r="G195" s="6">
        <v>88410</v>
      </c>
      <c r="I195" s="6">
        <f t="shared" si="1"/>
        <v>1.303116147308782</v>
      </c>
      <c r="J195" s="6">
        <f t="shared" si="2"/>
        <v>2.4558333333333335</v>
      </c>
      <c r="K195" s="24"/>
      <c r="L195" s="24"/>
      <c r="M195" s="6"/>
    </row>
    <row r="196" spans="1:13" ht="14" x14ac:dyDescent="0.15">
      <c r="A196" s="26" t="s">
        <v>198</v>
      </c>
      <c r="B196" s="2">
        <f t="shared" si="0"/>
        <v>0.8395170601196098</v>
      </c>
      <c r="C196" s="2">
        <f ca="1">IFERROR(__xludf.DUMMYFUNCTION("IFERROR(STDEV.S(FILTER(H220:L220, H220:L220&lt;&gt;"""")))"),0.572980993606869)</f>
        <v>0.57298099360686905</v>
      </c>
      <c r="D196" s="47">
        <v>0.68251262639999999</v>
      </c>
      <c r="E196" s="32"/>
      <c r="F196" s="32">
        <v>29</v>
      </c>
      <c r="G196" s="6">
        <v>27938</v>
      </c>
      <c r="I196" s="6">
        <f t="shared" si="1"/>
        <v>0.82152974504249299</v>
      </c>
      <c r="J196" s="6">
        <f t="shared" si="2"/>
        <v>0.77605555555555561</v>
      </c>
      <c r="K196" s="24">
        <v>0</v>
      </c>
      <c r="L196" s="24">
        <v>1</v>
      </c>
      <c r="M196" s="6">
        <v>1.6</v>
      </c>
    </row>
    <row r="197" spans="1:13" ht="14" x14ac:dyDescent="0.15">
      <c r="A197" s="26" t="s">
        <v>199</v>
      </c>
      <c r="B197" s="2">
        <f t="shared" si="0"/>
        <v>86.151571726471516</v>
      </c>
      <c r="C197" s="2">
        <f ca="1">IFERROR(__xludf.DUMMYFUNCTION("IFERROR(STDEV.S(FILTER(H221:L221, H221:L221&lt;&gt;"""")))"),2.61010467878121)</f>
        <v>2.6101046787812101</v>
      </c>
      <c r="D197" s="47">
        <v>3.02966577E-2</v>
      </c>
      <c r="E197" s="32"/>
      <c r="F197" s="32">
        <v>2976</v>
      </c>
      <c r="G197" s="27">
        <v>3167899</v>
      </c>
      <c r="I197" s="6">
        <f t="shared" si="1"/>
        <v>84.305949008498587</v>
      </c>
      <c r="J197" s="6">
        <f t="shared" si="2"/>
        <v>87.997194444444446</v>
      </c>
      <c r="K197" s="24"/>
      <c r="L197" s="24"/>
    </row>
    <row r="198" spans="1:13" ht="28" x14ac:dyDescent="0.15">
      <c r="A198" s="26" t="s">
        <v>235</v>
      </c>
      <c r="B198" s="2">
        <f t="shared" si="0"/>
        <v>0</v>
      </c>
      <c r="C198" s="2" t="str">
        <f ca="1">IFERROR(__xludf.DUMMYFUNCTION("IFERROR(STDEV.S(FILTER(H222:L222, H222:L222&lt;&gt;"""")))"),"")</f>
        <v/>
      </c>
      <c r="D198" s="47" t="s">
        <v>277</v>
      </c>
      <c r="E198" s="32"/>
      <c r="F198" s="32">
        <v>0</v>
      </c>
      <c r="G198" s="27"/>
      <c r="I198" s="6">
        <f t="shared" si="1"/>
        <v>0</v>
      </c>
      <c r="J198" s="6" t="str">
        <f t="shared" si="2"/>
        <v/>
      </c>
      <c r="K198" s="24"/>
      <c r="L198" s="24"/>
    </row>
    <row r="199" spans="1:13" ht="14" x14ac:dyDescent="0.15">
      <c r="A199" s="26" t="s">
        <v>236</v>
      </c>
      <c r="B199" s="2">
        <f t="shared" si="0"/>
        <v>0</v>
      </c>
      <c r="C199" s="2" t="str">
        <f ca="1">IFERROR(__xludf.DUMMYFUNCTION("IFERROR(STDEV.S(FILTER(H223:L223, H223:L223&lt;&gt;"""")))"),"")</f>
        <v/>
      </c>
      <c r="D199" s="47" t="s">
        <v>277</v>
      </c>
      <c r="E199" s="32"/>
      <c r="F199" s="32">
        <v>0</v>
      </c>
      <c r="G199" s="27"/>
      <c r="I199" s="6">
        <f t="shared" si="1"/>
        <v>0</v>
      </c>
      <c r="J199" s="6" t="str">
        <f t="shared" si="2"/>
        <v/>
      </c>
      <c r="K199" s="24"/>
      <c r="L199" s="24"/>
    </row>
    <row r="200" spans="1:13" ht="28" x14ac:dyDescent="0.15">
      <c r="A200" s="26" t="s">
        <v>237</v>
      </c>
      <c r="B200" s="2">
        <f t="shared" si="0"/>
        <v>0</v>
      </c>
      <c r="C200" s="2" t="str">
        <f ca="1">IFERROR(__xludf.DUMMYFUNCTION("IFERROR(STDEV.S(FILTER(H226:L226, H226:L226&lt;&gt;"""")))"),"")</f>
        <v/>
      </c>
      <c r="D200" s="47" t="s">
        <v>277</v>
      </c>
      <c r="E200" s="32"/>
      <c r="F200" s="32">
        <v>0</v>
      </c>
      <c r="G200" s="27"/>
      <c r="I200" s="6">
        <f t="shared" si="1"/>
        <v>0</v>
      </c>
      <c r="J200" s="6" t="str">
        <f t="shared" si="2"/>
        <v/>
      </c>
      <c r="K200" s="24"/>
      <c r="L200" s="24"/>
    </row>
    <row r="201" spans="1:13" ht="14" x14ac:dyDescent="0.15">
      <c r="A201" s="26" t="s">
        <v>201</v>
      </c>
      <c r="B201" s="2">
        <f t="shared" si="0"/>
        <v>0</v>
      </c>
      <c r="C201" s="2" t="str">
        <f ca="1">IFERROR(__xludf.DUMMYFUNCTION("IFERROR(STDEV.S(FILTER(H227:L227, H227:L227&lt;&gt;"""")))"),"")</f>
        <v/>
      </c>
      <c r="D201" s="47" t="s">
        <v>277</v>
      </c>
      <c r="E201" s="32"/>
      <c r="F201" s="32">
        <v>0</v>
      </c>
      <c r="G201" s="27"/>
      <c r="I201" s="6">
        <f t="shared" si="1"/>
        <v>0</v>
      </c>
      <c r="J201" s="6" t="str">
        <f t="shared" si="2"/>
        <v/>
      </c>
      <c r="K201" s="24"/>
      <c r="L201" s="24"/>
    </row>
    <row r="202" spans="1:13" ht="14" x14ac:dyDescent="0.15">
      <c r="A202" s="26" t="s">
        <v>202</v>
      </c>
      <c r="B202" s="2">
        <f t="shared" si="0"/>
        <v>17.013068578847971</v>
      </c>
      <c r="C202" s="2">
        <f ca="1">IFERROR(__xludf.DUMMYFUNCTION("IFERROR(STDEV.S(FILTER(H228:L228, H228:L228&lt;&gt;"""")))"),0.93901693942243)</f>
        <v>0.93901693942243003</v>
      </c>
      <c r="D202" s="47">
        <v>5.5193860829999997E-2</v>
      </c>
      <c r="E202" s="32"/>
      <c r="F202" s="32">
        <v>624</v>
      </c>
      <c r="G202" s="27">
        <v>588567</v>
      </c>
      <c r="I202" s="6">
        <f t="shared" si="1"/>
        <v>17.677053824362609</v>
      </c>
      <c r="J202" s="6">
        <f t="shared" si="2"/>
        <v>16.349083333333333</v>
      </c>
      <c r="K202" s="24"/>
      <c r="L202" s="24"/>
    </row>
    <row r="203" spans="1:13" ht="28" x14ac:dyDescent="0.15">
      <c r="A203" s="26" t="s">
        <v>203</v>
      </c>
      <c r="B203" s="2">
        <f t="shared" si="0"/>
        <v>54.477333234970096</v>
      </c>
      <c r="C203" s="2">
        <f ca="1">IFERROR(__xludf.DUMMYFUNCTION("IFERROR(STDEV.S(FILTER(H229:L229, H229:L229&lt;&gt;"""")))"),2.58340691933739)</f>
        <v>2.5834069193373899</v>
      </c>
      <c r="D203" s="47">
        <v>4.742168469E-2</v>
      </c>
      <c r="E203" s="32"/>
      <c r="F203" s="32">
        <v>1971</v>
      </c>
      <c r="G203" s="27">
        <v>1838651</v>
      </c>
      <c r="I203" s="6">
        <f t="shared" si="1"/>
        <v>55.835694050991506</v>
      </c>
      <c r="J203" s="6">
        <f t="shared" si="2"/>
        <v>51.073638888888887</v>
      </c>
      <c r="K203" s="24">
        <v>54</v>
      </c>
      <c r="L203" s="24">
        <v>57</v>
      </c>
    </row>
    <row r="204" spans="1:13" ht="28" x14ac:dyDescent="0.15">
      <c r="A204" s="26" t="s">
        <v>204</v>
      </c>
      <c r="B204" s="2">
        <f t="shared" si="0"/>
        <v>36.299259411394402</v>
      </c>
      <c r="C204" s="2">
        <f ca="1">IFERROR(__xludf.DUMMYFUNCTION("IFERROR(STDEV.S(FILTER(H230:L230, H230:L230&lt;&gt;"""")))"),2.77344226398336)</f>
        <v>2.7734422639833598</v>
      </c>
      <c r="D204" s="47">
        <v>7.6404926959999994E-2</v>
      </c>
      <c r="E204" s="32"/>
      <c r="F204" s="32">
        <v>1202</v>
      </c>
      <c r="G204" s="27">
        <v>1240031</v>
      </c>
      <c r="I204" s="6">
        <f t="shared" si="1"/>
        <v>34.050991501416433</v>
      </c>
      <c r="J204" s="6">
        <f t="shared" si="2"/>
        <v>34.445305555555557</v>
      </c>
      <c r="K204" s="24">
        <v>41</v>
      </c>
      <c r="L204" s="24">
        <v>36</v>
      </c>
      <c r="M204" s="6">
        <v>36</v>
      </c>
    </row>
    <row r="205" spans="1:13" ht="28" x14ac:dyDescent="0.15">
      <c r="A205" s="46" t="s">
        <v>275</v>
      </c>
      <c r="B205" s="2">
        <f t="shared" si="0"/>
        <v>1048.3457685709789</v>
      </c>
      <c r="C205" s="2">
        <f ca="1">IFERROR(__xludf.DUMMYFUNCTION("IFERROR(STDEV.S(FILTER(H231:L231, H231:L231&lt;&gt;"""")))"),28.0898522199789)</f>
        <v>28.089852219978901</v>
      </c>
      <c r="D205" s="47">
        <v>2.679445376E-2</v>
      </c>
      <c r="E205" s="32"/>
      <c r="F205" s="32">
        <v>37869</v>
      </c>
      <c r="G205" s="27">
        <v>37006295</v>
      </c>
      <c r="I205" s="6">
        <f t="shared" si="1"/>
        <v>1072.7762039660058</v>
      </c>
      <c r="J205" s="6">
        <f t="shared" si="2"/>
        <v>1027.9526388888889</v>
      </c>
      <c r="K205" s="22">
        <v>1035</v>
      </c>
      <c r="L205" s="22">
        <v>1084</v>
      </c>
      <c r="M205" s="27">
        <v>1022</v>
      </c>
    </row>
    <row r="206" spans="1:13" ht="14" x14ac:dyDescent="0.15">
      <c r="A206" s="26" t="s">
        <v>206</v>
      </c>
      <c r="B206" s="2">
        <f t="shared" si="0"/>
        <v>0</v>
      </c>
      <c r="C206" s="2" t="str">
        <f ca="1">IFERROR(__xludf.DUMMYFUNCTION("IFERROR(STDEV.S(FILTER(H232:L232, H232:L232&lt;&gt;"""")))"),"")</f>
        <v/>
      </c>
      <c r="D206" s="47" t="s">
        <v>277</v>
      </c>
      <c r="E206" s="32"/>
      <c r="F206" s="32">
        <v>0</v>
      </c>
      <c r="G206" s="27"/>
      <c r="I206" s="6">
        <f t="shared" si="1"/>
        <v>0</v>
      </c>
      <c r="J206" s="6" t="str">
        <f t="shared" si="2"/>
        <v/>
      </c>
      <c r="K206" s="24"/>
      <c r="L206" s="24"/>
    </row>
    <row r="207" spans="1:13" ht="14" x14ac:dyDescent="0.15">
      <c r="A207" s="26" t="s">
        <v>207</v>
      </c>
      <c r="B207" s="2">
        <f t="shared" si="0"/>
        <v>47.420982314290214</v>
      </c>
      <c r="C207" s="2">
        <f ca="1">IFERROR(__xludf.DUMMYFUNCTION("IFERROR(STDEV.S(FILTER(H233:L233, H233:L233&lt;&gt;"""")))"),3.47281722334075)</f>
        <v>3.4728172233407499</v>
      </c>
      <c r="D207" s="47">
        <v>7.3233768130000002E-2</v>
      </c>
      <c r="E207" s="32"/>
      <c r="F207" s="32">
        <v>1527</v>
      </c>
      <c r="G207" s="27">
        <v>1779341</v>
      </c>
      <c r="I207" s="6">
        <f t="shared" si="1"/>
        <v>43.257790368271955</v>
      </c>
      <c r="J207" s="6">
        <f t="shared" si="2"/>
        <v>49.426138888888886</v>
      </c>
      <c r="K207" s="24">
        <v>51</v>
      </c>
      <c r="L207" s="24">
        <v>46</v>
      </c>
    </row>
    <row r="208" spans="1:13" ht="14" x14ac:dyDescent="0.15">
      <c r="A208" s="26" t="s">
        <v>208</v>
      </c>
      <c r="B208" s="2">
        <f t="shared" si="0"/>
        <v>0</v>
      </c>
      <c r="C208" s="2" t="str">
        <f ca="1">IFERROR(__xludf.DUMMYFUNCTION("IFERROR(STDEV.S(FILTER(H234:L234, H234:L234&lt;&gt;"""")))"),"")</f>
        <v/>
      </c>
      <c r="D208" s="47" t="s">
        <v>277</v>
      </c>
      <c r="E208" s="32"/>
      <c r="F208" s="32">
        <v>0</v>
      </c>
      <c r="G208" s="6"/>
      <c r="I208" s="6">
        <f t="shared" si="1"/>
        <v>0</v>
      </c>
      <c r="J208" s="6" t="str">
        <f t="shared" si="2"/>
        <v/>
      </c>
      <c r="K208" s="24"/>
      <c r="L208" s="24"/>
    </row>
    <row r="209" spans="1:13" ht="14" x14ac:dyDescent="0.15">
      <c r="A209" s="26" t="s">
        <v>209</v>
      </c>
      <c r="B209" s="2">
        <f t="shared" si="0"/>
        <v>21.911759915014166</v>
      </c>
      <c r="C209" s="2">
        <f ca="1">IFERROR(__xludf.DUMMYFUNCTION("IFERROR(STDEV.S(FILTER(H235:L235, H235:L235&lt;&gt;"""")))"),2.78495407965072)</f>
        <v>2.7849540796507202</v>
      </c>
      <c r="D209" s="47">
        <v>0.12709860319999999</v>
      </c>
      <c r="E209" s="32"/>
      <c r="F209" s="32">
        <v>843</v>
      </c>
      <c r="G209" s="6">
        <v>717930</v>
      </c>
      <c r="I209" s="6">
        <f t="shared" si="1"/>
        <v>23.881019830028329</v>
      </c>
      <c r="J209" s="6">
        <f t="shared" si="2"/>
        <v>19.942499999999999</v>
      </c>
      <c r="K209" s="24"/>
      <c r="L209" s="24"/>
    </row>
    <row r="210" spans="1:13" ht="14" x14ac:dyDescent="0.15">
      <c r="A210" s="26" t="s">
        <v>210</v>
      </c>
      <c r="B210" s="2">
        <f t="shared" si="0"/>
        <v>8.0878133852691221</v>
      </c>
      <c r="C210" s="2">
        <f ca="1">IFERROR(__xludf.DUMMYFUNCTION("IFERROR(STDEV.S(FILTER(H236:L236, H236:L236&lt;&gt;"""")))"),0.577958867743662)</f>
        <v>0.57795886774366201</v>
      </c>
      <c r="D210" s="47">
        <v>7.1460460350000005E-2</v>
      </c>
      <c r="E210" s="32"/>
      <c r="F210" s="32">
        <v>264</v>
      </c>
      <c r="G210" s="6">
        <v>319410</v>
      </c>
      <c r="I210" s="6">
        <f t="shared" si="1"/>
        <v>7.4787535410764878</v>
      </c>
      <c r="J210" s="6">
        <f t="shared" si="2"/>
        <v>8.8725000000000005</v>
      </c>
      <c r="K210" s="24">
        <v>8</v>
      </c>
      <c r="L210" s="24">
        <v>8</v>
      </c>
    </row>
    <row r="211" spans="1:13" ht="14" x14ac:dyDescent="0.15">
      <c r="A211" s="1" t="s">
        <v>238</v>
      </c>
      <c r="B211" s="2">
        <f t="shared" si="0"/>
        <v>0</v>
      </c>
      <c r="C211" s="2" t="str">
        <f ca="1">IFERROR(__xludf.DUMMYFUNCTION("IFERROR(STDEV.S(FILTER(H237:L237, H237:L237&lt;&gt;"""")))"),"")</f>
        <v/>
      </c>
      <c r="D211" s="47" t="s">
        <v>277</v>
      </c>
      <c r="E211" s="32"/>
      <c r="F211" s="32">
        <v>0</v>
      </c>
      <c r="I211" s="6">
        <f t="shared" si="1"/>
        <v>0</v>
      </c>
      <c r="J211" s="6" t="str">
        <f t="shared" si="2"/>
        <v/>
      </c>
      <c r="K211" s="22"/>
      <c r="L211" s="28"/>
      <c r="M211" s="27"/>
    </row>
    <row r="212" spans="1:13" ht="14" x14ac:dyDescent="0.15">
      <c r="A212" s="1" t="s">
        <v>211</v>
      </c>
      <c r="B212" s="2">
        <f t="shared" si="0"/>
        <v>1.5679611268492287E-2</v>
      </c>
      <c r="C212" s="2">
        <f ca="1">IFERROR(__xludf.DUMMYFUNCTION("IFERROR(STDEV.S(FILTER(H239:L239, H239:L239&lt;&gt;"""")))"),0.00614923604888801)</f>
        <v>6.1492360488880097E-3</v>
      </c>
      <c r="D212" s="47">
        <v>0.39218038910000003</v>
      </c>
      <c r="E212" s="32"/>
      <c r="F212" s="32">
        <v>0.4</v>
      </c>
      <c r="G212" s="6">
        <v>721</v>
      </c>
      <c r="I212" s="6">
        <f t="shared" si="1"/>
        <v>1.1331444759206801E-2</v>
      </c>
      <c r="J212" s="6">
        <f t="shared" si="2"/>
        <v>2.0027777777777776E-2</v>
      </c>
      <c r="K212" s="22"/>
      <c r="L212" s="28"/>
      <c r="M212" s="27"/>
    </row>
    <row r="213" spans="1:13" ht="14" x14ac:dyDescent="0.15">
      <c r="A213" s="1" t="s">
        <v>212</v>
      </c>
      <c r="B213" s="2">
        <f t="shared" si="0"/>
        <v>0</v>
      </c>
      <c r="C213" s="2" t="str">
        <f ca="1">IFERROR(__xludf.DUMMYFUNCTION("IFERROR(STDEV.S(FILTER(H240:L240, H240:L240&lt;&gt;"""")))"),"")</f>
        <v/>
      </c>
      <c r="D213" s="47" t="s">
        <v>277</v>
      </c>
      <c r="E213" s="32"/>
      <c r="F213" s="32">
        <v>0</v>
      </c>
      <c r="I213" s="6">
        <f t="shared" si="1"/>
        <v>0</v>
      </c>
      <c r="J213" s="6" t="str">
        <f t="shared" si="2"/>
        <v/>
      </c>
      <c r="K213" s="22"/>
      <c r="L213" s="28"/>
      <c r="M213" s="27"/>
    </row>
    <row r="214" spans="1:13" ht="14" x14ac:dyDescent="0.15">
      <c r="A214" s="1" t="s">
        <v>213</v>
      </c>
      <c r="B214" s="2">
        <f t="shared" si="0"/>
        <v>0</v>
      </c>
      <c r="C214" s="2" t="str">
        <f ca="1">IFERROR(__xludf.DUMMYFUNCTION("IFERROR(STDEV.S(FILTER(H241:L241, H241:L241&lt;&gt;"""")))"),"")</f>
        <v/>
      </c>
      <c r="D214" s="47" t="s">
        <v>277</v>
      </c>
      <c r="E214" s="32"/>
      <c r="F214" s="32">
        <v>0</v>
      </c>
      <c r="I214" s="6">
        <f t="shared" si="1"/>
        <v>0</v>
      </c>
      <c r="J214" s="6" t="str">
        <f t="shared" si="2"/>
        <v/>
      </c>
      <c r="K214" s="22"/>
      <c r="L214" s="28"/>
      <c r="M214" s="27"/>
    </row>
    <row r="215" spans="1:13" ht="13" x14ac:dyDescent="0.15">
      <c r="A215" s="7"/>
      <c r="B215" s="31"/>
      <c r="C215" s="31"/>
      <c r="D215" s="31"/>
      <c r="E215" s="32"/>
      <c r="F215" s="32"/>
    </row>
    <row r="216" spans="1:13" ht="13" x14ac:dyDescent="0.15">
      <c r="A216" s="7"/>
      <c r="B216" s="31"/>
      <c r="C216" s="31"/>
      <c r="D216" s="31"/>
      <c r="E216" s="35"/>
      <c r="F216" s="35"/>
      <c r="G216" s="7"/>
      <c r="K216" s="3"/>
      <c r="L216" s="3"/>
    </row>
    <row r="217" spans="1:13" ht="13" x14ac:dyDescent="0.15">
      <c r="A217" s="7"/>
      <c r="B217" s="31"/>
      <c r="C217" s="31"/>
      <c r="D217" s="31"/>
      <c r="E217" s="32"/>
      <c r="F217" s="32"/>
      <c r="K217" s="3"/>
      <c r="L217" s="3"/>
    </row>
    <row r="218" spans="1:13" ht="13" x14ac:dyDescent="0.15">
      <c r="A218" s="7"/>
      <c r="B218" s="31"/>
      <c r="C218" s="31"/>
      <c r="D218" s="31"/>
      <c r="E218" s="32"/>
      <c r="F218" s="32"/>
      <c r="K218" s="3"/>
      <c r="L218" s="3"/>
    </row>
    <row r="219" spans="1:13" ht="13" x14ac:dyDescent="0.15">
      <c r="A219" s="7"/>
      <c r="B219" s="31"/>
      <c r="C219" s="31"/>
      <c r="D219" s="31"/>
      <c r="E219" s="32"/>
      <c r="F219" s="32"/>
      <c r="K219" s="3"/>
      <c r="L219" s="3"/>
    </row>
    <row r="220" spans="1:13" ht="13" x14ac:dyDescent="0.15">
      <c r="A220" s="7"/>
      <c r="B220" s="31"/>
      <c r="C220" s="31"/>
      <c r="D220" s="31"/>
      <c r="E220" s="32"/>
      <c r="F220" s="32"/>
      <c r="K220" s="3"/>
      <c r="L220" s="3"/>
    </row>
    <row r="221" spans="1:13" ht="13" x14ac:dyDescent="0.15">
      <c r="A221" s="7"/>
      <c r="B221" s="31"/>
      <c r="C221" s="31"/>
      <c r="D221" s="31"/>
      <c r="E221" s="32"/>
      <c r="F221" s="32"/>
      <c r="K221" s="3"/>
      <c r="L221" s="3"/>
    </row>
    <row r="222" spans="1:13" ht="13" x14ac:dyDescent="0.15">
      <c r="A222" s="7"/>
      <c r="B222" s="31"/>
      <c r="C222" s="31"/>
      <c r="D222" s="31"/>
      <c r="E222" s="32"/>
      <c r="F222" s="32"/>
      <c r="K222" s="3"/>
      <c r="L222" s="3"/>
    </row>
    <row r="223" spans="1:13" ht="13" x14ac:dyDescent="0.15">
      <c r="A223" s="7"/>
      <c r="B223" s="31"/>
      <c r="C223" s="31"/>
      <c r="D223" s="31"/>
      <c r="E223" s="32"/>
      <c r="F223" s="32"/>
      <c r="K223" s="3"/>
      <c r="L223" s="3"/>
    </row>
    <row r="224" spans="1:13" ht="13" x14ac:dyDescent="0.15">
      <c r="A224" s="7"/>
      <c r="B224" s="31"/>
      <c r="C224" s="31"/>
      <c r="D224" s="31"/>
      <c r="E224" s="32"/>
      <c r="F224" s="32"/>
      <c r="K224" s="3"/>
      <c r="L224" s="3"/>
    </row>
    <row r="225" spans="1:12" ht="13" x14ac:dyDescent="0.15">
      <c r="A225" s="7"/>
      <c r="B225" s="31"/>
      <c r="C225" s="31"/>
      <c r="D225" s="31"/>
      <c r="E225" s="32"/>
      <c r="F225" s="32"/>
      <c r="K225" s="3"/>
      <c r="L225" s="3"/>
    </row>
    <row r="226" spans="1:12" ht="13" x14ac:dyDescent="0.15">
      <c r="A226" s="7"/>
      <c r="B226" s="31"/>
      <c r="C226" s="31"/>
      <c r="D226" s="31"/>
      <c r="E226" s="32"/>
      <c r="F226" s="32"/>
      <c r="K226" s="3"/>
      <c r="L226" s="3"/>
    </row>
    <row r="227" spans="1:12" ht="13" x14ac:dyDescent="0.15">
      <c r="A227" s="7"/>
      <c r="B227" s="31"/>
      <c r="C227" s="31"/>
      <c r="D227" s="31"/>
      <c r="E227" s="32"/>
      <c r="F227" s="32"/>
      <c r="K227" s="3"/>
      <c r="L227" s="3"/>
    </row>
    <row r="228" spans="1:12" ht="13" x14ac:dyDescent="0.15">
      <c r="A228" s="7"/>
      <c r="B228" s="31"/>
      <c r="C228" s="31"/>
      <c r="D228" s="31"/>
      <c r="E228" s="32"/>
      <c r="F228" s="32"/>
      <c r="K228" s="3"/>
      <c r="L228" s="3"/>
    </row>
    <row r="229" spans="1:12" ht="13" x14ac:dyDescent="0.15">
      <c r="A229" s="7"/>
      <c r="B229" s="31"/>
      <c r="C229" s="31"/>
      <c r="D229" s="31"/>
      <c r="E229" s="32"/>
      <c r="F229" s="32"/>
      <c r="K229" s="3"/>
      <c r="L229" s="3"/>
    </row>
    <row r="230" spans="1:12" ht="13" x14ac:dyDescent="0.15">
      <c r="A230" s="7"/>
      <c r="B230" s="31"/>
      <c r="C230" s="31"/>
      <c r="D230" s="31"/>
      <c r="E230" s="32"/>
      <c r="F230" s="32"/>
      <c r="K230" s="3"/>
      <c r="L230" s="3"/>
    </row>
    <row r="231" spans="1:12" ht="13" x14ac:dyDescent="0.15">
      <c r="A231" s="7"/>
      <c r="B231" s="31"/>
      <c r="C231" s="31"/>
      <c r="D231" s="31"/>
      <c r="E231" s="32"/>
      <c r="F231" s="32"/>
      <c r="K231" s="3"/>
      <c r="L231" s="3"/>
    </row>
    <row r="232" spans="1:12" ht="13" x14ac:dyDescent="0.15">
      <c r="A232" s="7"/>
      <c r="B232" s="31"/>
      <c r="C232" s="31"/>
      <c r="D232" s="31"/>
      <c r="E232" s="32"/>
      <c r="F232" s="32"/>
      <c r="K232" s="3"/>
      <c r="L232" s="3"/>
    </row>
    <row r="233" spans="1:12" ht="13" x14ac:dyDescent="0.15">
      <c r="A233" s="7"/>
      <c r="B233" s="31"/>
      <c r="C233" s="31"/>
      <c r="D233" s="31"/>
      <c r="E233" s="32"/>
      <c r="F233" s="32"/>
      <c r="K233" s="3"/>
      <c r="L233" s="3"/>
    </row>
    <row r="234" spans="1:12" ht="13" x14ac:dyDescent="0.15">
      <c r="A234" s="7"/>
      <c r="B234" s="31"/>
      <c r="C234" s="31"/>
      <c r="D234" s="31"/>
      <c r="E234" s="32"/>
      <c r="F234" s="32"/>
      <c r="K234" s="3"/>
      <c r="L234" s="3"/>
    </row>
    <row r="235" spans="1:12" ht="13" x14ac:dyDescent="0.15">
      <c r="A235" s="7"/>
      <c r="B235" s="31"/>
      <c r="C235" s="31"/>
      <c r="D235" s="31"/>
      <c r="E235" s="32"/>
      <c r="F235" s="32"/>
      <c r="K235" s="3"/>
      <c r="L235" s="3"/>
    </row>
    <row r="236" spans="1:12" ht="13" x14ac:dyDescent="0.15">
      <c r="A236" s="7"/>
      <c r="B236" s="31"/>
      <c r="C236" s="31"/>
      <c r="D236" s="31"/>
      <c r="E236" s="32"/>
      <c r="F236" s="32"/>
      <c r="K236" s="3"/>
      <c r="L236" s="3"/>
    </row>
    <row r="237" spans="1:12" ht="13" x14ac:dyDescent="0.15">
      <c r="A237" s="7"/>
      <c r="B237" s="31"/>
      <c r="C237" s="31"/>
      <c r="D237" s="31"/>
      <c r="E237" s="32"/>
      <c r="F237" s="32"/>
      <c r="K237" s="3"/>
      <c r="L237" s="3"/>
    </row>
    <row r="238" spans="1:12" ht="13" x14ac:dyDescent="0.15">
      <c r="A238" s="7"/>
      <c r="B238" s="31"/>
      <c r="C238" s="31"/>
      <c r="D238" s="31"/>
      <c r="E238" s="32"/>
      <c r="F238" s="32"/>
      <c r="K238" s="3"/>
      <c r="L238" s="3"/>
    </row>
    <row r="239" spans="1:12" ht="13" x14ac:dyDescent="0.15">
      <c r="A239" s="7"/>
      <c r="B239" s="31"/>
      <c r="C239" s="31"/>
      <c r="D239" s="31"/>
      <c r="E239" s="32"/>
      <c r="F239" s="32"/>
      <c r="K239" s="3"/>
      <c r="L239" s="3"/>
    </row>
    <row r="240" spans="1:12" ht="13" x14ac:dyDescent="0.15">
      <c r="A240" s="7"/>
      <c r="B240" s="31"/>
      <c r="C240" s="31"/>
      <c r="D240" s="31"/>
      <c r="E240" s="32"/>
      <c r="F240" s="32"/>
      <c r="K240" s="3"/>
      <c r="L240" s="3"/>
    </row>
    <row r="241" spans="1:12" ht="13" x14ac:dyDescent="0.15">
      <c r="A241" s="7"/>
      <c r="B241" s="31"/>
      <c r="C241" s="31"/>
      <c r="D241" s="31"/>
      <c r="E241" s="32"/>
      <c r="F241" s="32"/>
      <c r="K241" s="3"/>
      <c r="L241" s="3"/>
    </row>
    <row r="242" spans="1:12" ht="13" x14ac:dyDescent="0.15">
      <c r="A242" s="7"/>
      <c r="B242" s="31"/>
      <c r="C242" s="31"/>
      <c r="D242" s="31"/>
      <c r="E242" s="32"/>
      <c r="F242" s="32"/>
      <c r="K242" s="3"/>
      <c r="L242" s="3"/>
    </row>
    <row r="243" spans="1:12" ht="13" x14ac:dyDescent="0.15">
      <c r="A243" s="7"/>
      <c r="B243" s="31"/>
      <c r="C243" s="31"/>
      <c r="D243" s="31"/>
      <c r="E243" s="32"/>
      <c r="F243" s="32"/>
      <c r="K243" s="3"/>
      <c r="L243" s="3"/>
    </row>
    <row r="244" spans="1:12" ht="13" x14ac:dyDescent="0.15">
      <c r="A244" s="7"/>
      <c r="B244" s="31"/>
      <c r="C244" s="31"/>
      <c r="D244" s="31"/>
      <c r="E244" s="32"/>
      <c r="F244" s="32"/>
      <c r="K244" s="3"/>
      <c r="L244" s="3"/>
    </row>
    <row r="245" spans="1:12" ht="13" x14ac:dyDescent="0.15">
      <c r="A245" s="7"/>
      <c r="B245" s="31"/>
      <c r="C245" s="31"/>
      <c r="D245" s="31"/>
      <c r="E245" s="32"/>
      <c r="F245" s="32"/>
      <c r="K245" s="3"/>
      <c r="L245" s="3"/>
    </row>
    <row r="246" spans="1:12" ht="13" x14ac:dyDescent="0.15">
      <c r="A246" s="7"/>
      <c r="B246" s="31"/>
      <c r="C246" s="31"/>
      <c r="D246" s="31"/>
      <c r="E246" s="32"/>
      <c r="F246" s="32"/>
      <c r="K246" s="3"/>
      <c r="L246" s="3"/>
    </row>
    <row r="247" spans="1:12" ht="13" x14ac:dyDescent="0.15">
      <c r="A247" s="7"/>
      <c r="B247" s="31"/>
      <c r="C247" s="31"/>
      <c r="D247" s="31"/>
      <c r="E247" s="32"/>
      <c r="F247" s="32"/>
      <c r="K247" s="3"/>
      <c r="L247" s="3"/>
    </row>
    <row r="248" spans="1:12" ht="13" x14ac:dyDescent="0.15">
      <c r="A248" s="7"/>
      <c r="B248" s="31"/>
      <c r="C248" s="31"/>
      <c r="D248" s="31"/>
      <c r="E248" s="32"/>
      <c r="F248" s="32"/>
      <c r="K248" s="3"/>
      <c r="L248" s="3"/>
    </row>
    <row r="249" spans="1:12" ht="13" x14ac:dyDescent="0.15">
      <c r="A249" s="7"/>
      <c r="B249" s="31"/>
      <c r="C249" s="31"/>
      <c r="D249" s="31"/>
      <c r="E249" s="32"/>
      <c r="F249" s="32"/>
      <c r="K249" s="3"/>
      <c r="L249" s="3"/>
    </row>
    <row r="250" spans="1:12" ht="13" x14ac:dyDescent="0.15">
      <c r="A250" s="7"/>
      <c r="B250" s="31"/>
      <c r="C250" s="31"/>
      <c r="D250" s="31"/>
      <c r="E250" s="32"/>
      <c r="F250" s="32"/>
      <c r="K250" s="3"/>
      <c r="L250" s="3"/>
    </row>
    <row r="251" spans="1:12" ht="13" x14ac:dyDescent="0.15">
      <c r="A251" s="7"/>
      <c r="B251" s="31"/>
      <c r="C251" s="31"/>
      <c r="D251" s="31"/>
      <c r="E251" s="32"/>
      <c r="F251" s="32"/>
      <c r="K251" s="3"/>
      <c r="L251" s="3"/>
    </row>
    <row r="252" spans="1:12" ht="13" x14ac:dyDescent="0.15">
      <c r="A252" s="7"/>
      <c r="B252" s="31"/>
      <c r="C252" s="31"/>
      <c r="D252" s="31"/>
      <c r="E252" s="32"/>
      <c r="F252" s="32"/>
      <c r="K252" s="3"/>
      <c r="L252" s="3"/>
    </row>
    <row r="253" spans="1:12" ht="13" x14ac:dyDescent="0.15">
      <c r="A253" s="7"/>
      <c r="B253" s="31"/>
      <c r="C253" s="31"/>
      <c r="D253" s="31"/>
      <c r="E253" s="32"/>
      <c r="F253" s="32"/>
      <c r="K253" s="3"/>
      <c r="L253" s="3"/>
    </row>
    <row r="254" spans="1:12" ht="13" x14ac:dyDescent="0.15">
      <c r="A254" s="7"/>
      <c r="B254" s="31"/>
      <c r="C254" s="31"/>
      <c r="D254" s="31"/>
      <c r="E254" s="32"/>
      <c r="F254" s="32"/>
      <c r="K254" s="3"/>
      <c r="L254" s="3"/>
    </row>
    <row r="255" spans="1:12" ht="13" x14ac:dyDescent="0.15">
      <c r="A255" s="7"/>
      <c r="B255" s="31"/>
      <c r="C255" s="31"/>
      <c r="D255" s="31"/>
      <c r="E255" s="32"/>
      <c r="F255" s="32"/>
      <c r="K255" s="3"/>
      <c r="L255" s="3"/>
    </row>
    <row r="256" spans="1:12" ht="13" x14ac:dyDescent="0.15">
      <c r="A256" s="7"/>
      <c r="B256" s="31"/>
      <c r="C256" s="31"/>
      <c r="D256" s="31"/>
      <c r="E256" s="32"/>
      <c r="F256" s="32"/>
      <c r="K256" s="3"/>
      <c r="L256" s="3"/>
    </row>
    <row r="257" spans="1:12" ht="13" x14ac:dyDescent="0.15">
      <c r="A257" s="7"/>
      <c r="B257" s="31"/>
      <c r="C257" s="31"/>
      <c r="D257" s="31"/>
      <c r="E257" s="32"/>
      <c r="F257" s="32"/>
      <c r="K257" s="3"/>
      <c r="L257" s="3"/>
    </row>
    <row r="258" spans="1:12" ht="13" x14ac:dyDescent="0.15">
      <c r="A258" s="7"/>
      <c r="B258" s="31"/>
      <c r="C258" s="31"/>
      <c r="D258" s="31"/>
      <c r="E258" s="32"/>
      <c r="F258" s="32"/>
      <c r="K258" s="3"/>
      <c r="L258" s="3"/>
    </row>
    <row r="259" spans="1:12" ht="13" x14ac:dyDescent="0.15">
      <c r="A259" s="7"/>
      <c r="B259" s="31"/>
      <c r="C259" s="31"/>
      <c r="D259" s="31"/>
      <c r="E259" s="32"/>
      <c r="F259" s="32"/>
      <c r="K259" s="3"/>
      <c r="L259" s="3"/>
    </row>
    <row r="260" spans="1:12" ht="13" x14ac:dyDescent="0.15">
      <c r="A260" s="7"/>
      <c r="B260" s="31"/>
      <c r="C260" s="31"/>
      <c r="D260" s="31"/>
      <c r="E260" s="32"/>
      <c r="F260" s="32"/>
      <c r="K260" s="3"/>
      <c r="L260" s="3"/>
    </row>
    <row r="261" spans="1:12" ht="13" x14ac:dyDescent="0.15">
      <c r="A261" s="7"/>
      <c r="B261" s="31"/>
      <c r="C261" s="31"/>
      <c r="D261" s="31"/>
      <c r="E261" s="32"/>
      <c r="F261" s="32"/>
      <c r="K261" s="3"/>
      <c r="L261" s="3"/>
    </row>
    <row r="262" spans="1:12" ht="13" x14ac:dyDescent="0.15">
      <c r="A262" s="7"/>
      <c r="B262" s="31"/>
      <c r="C262" s="31"/>
      <c r="D262" s="31"/>
      <c r="E262" s="32"/>
      <c r="F262" s="32"/>
      <c r="K262" s="3"/>
      <c r="L262" s="3"/>
    </row>
    <row r="263" spans="1:12" ht="13" x14ac:dyDescent="0.15">
      <c r="A263" s="7"/>
      <c r="B263" s="31"/>
      <c r="C263" s="31"/>
      <c r="D263" s="31"/>
      <c r="E263" s="32"/>
      <c r="F263" s="32"/>
      <c r="K263" s="3"/>
      <c r="L263" s="3"/>
    </row>
    <row r="264" spans="1:12" ht="13" x14ac:dyDescent="0.15">
      <c r="A264" s="7"/>
      <c r="B264" s="31"/>
      <c r="C264" s="31"/>
      <c r="D264" s="31"/>
      <c r="E264" s="32"/>
      <c r="F264" s="32"/>
      <c r="K264" s="3"/>
      <c r="L264" s="3"/>
    </row>
    <row r="265" spans="1:12" ht="13" x14ac:dyDescent="0.15">
      <c r="A265" s="7"/>
      <c r="B265" s="31"/>
      <c r="C265" s="31"/>
      <c r="D265" s="31"/>
      <c r="E265" s="32"/>
      <c r="F265" s="32"/>
      <c r="K265" s="3"/>
      <c r="L265" s="3"/>
    </row>
    <row r="266" spans="1:12" ht="13" x14ac:dyDescent="0.15">
      <c r="A266" s="7"/>
      <c r="B266" s="31"/>
      <c r="C266" s="31"/>
      <c r="D266" s="31"/>
      <c r="E266" s="32"/>
      <c r="F266" s="32"/>
      <c r="K266" s="3"/>
      <c r="L266" s="3"/>
    </row>
    <row r="267" spans="1:12" ht="13" x14ac:dyDescent="0.15">
      <c r="A267" s="7"/>
      <c r="B267" s="31"/>
      <c r="C267" s="31"/>
      <c r="D267" s="31"/>
      <c r="E267" s="32"/>
      <c r="F267" s="32"/>
      <c r="K267" s="3"/>
      <c r="L267" s="3"/>
    </row>
    <row r="268" spans="1:12" ht="13" x14ac:dyDescent="0.15">
      <c r="A268" s="7"/>
      <c r="B268" s="31"/>
      <c r="C268" s="31"/>
      <c r="D268" s="31"/>
      <c r="E268" s="32"/>
      <c r="F268" s="32"/>
      <c r="K268" s="3"/>
      <c r="L268" s="3"/>
    </row>
    <row r="269" spans="1:12" ht="13" x14ac:dyDescent="0.15">
      <c r="A269" s="7"/>
      <c r="B269" s="31"/>
      <c r="C269" s="31"/>
      <c r="D269" s="31"/>
      <c r="E269" s="32"/>
      <c r="F269" s="32"/>
      <c r="K269" s="3"/>
      <c r="L269" s="3"/>
    </row>
    <row r="270" spans="1:12" ht="13" x14ac:dyDescent="0.15">
      <c r="A270" s="7"/>
      <c r="B270" s="31"/>
      <c r="C270" s="31"/>
      <c r="D270" s="31"/>
      <c r="E270" s="32"/>
      <c r="F270" s="32"/>
      <c r="K270" s="3"/>
      <c r="L270" s="3"/>
    </row>
    <row r="271" spans="1:12" ht="13" x14ac:dyDescent="0.15">
      <c r="A271" s="7"/>
      <c r="B271" s="31"/>
      <c r="C271" s="31"/>
      <c r="D271" s="31"/>
      <c r="E271" s="32"/>
      <c r="F271" s="32"/>
      <c r="K271" s="3"/>
      <c r="L271" s="3"/>
    </row>
    <row r="272" spans="1:12" ht="13" x14ac:dyDescent="0.15">
      <c r="A272" s="7"/>
      <c r="B272" s="31"/>
      <c r="C272" s="31"/>
      <c r="D272" s="31"/>
      <c r="E272" s="32"/>
      <c r="F272" s="32"/>
      <c r="K272" s="3"/>
      <c r="L272" s="3"/>
    </row>
    <row r="273" spans="1:12" ht="13" x14ac:dyDescent="0.15">
      <c r="A273" s="7"/>
      <c r="B273" s="31"/>
      <c r="C273" s="31"/>
      <c r="D273" s="31"/>
      <c r="E273" s="32"/>
      <c r="F273" s="32"/>
      <c r="K273" s="3"/>
      <c r="L273" s="3"/>
    </row>
    <row r="274" spans="1:12" ht="13" x14ac:dyDescent="0.15">
      <c r="A274" s="7"/>
      <c r="B274" s="31"/>
      <c r="C274" s="31"/>
      <c r="D274" s="31"/>
      <c r="E274" s="32"/>
      <c r="F274" s="32"/>
      <c r="K274" s="3"/>
      <c r="L274" s="3"/>
    </row>
    <row r="275" spans="1:12" ht="13" x14ac:dyDescent="0.15">
      <c r="A275" s="7"/>
      <c r="B275" s="31"/>
      <c r="C275" s="31"/>
      <c r="D275" s="31"/>
      <c r="E275" s="32"/>
      <c r="F275" s="32"/>
      <c r="K275" s="3"/>
      <c r="L275" s="3"/>
    </row>
    <row r="276" spans="1:12" ht="13" x14ac:dyDescent="0.15">
      <c r="A276" s="7"/>
      <c r="B276" s="31"/>
      <c r="C276" s="31"/>
      <c r="D276" s="31"/>
      <c r="E276" s="32"/>
      <c r="F276" s="32"/>
      <c r="K276" s="3"/>
      <c r="L276" s="3"/>
    </row>
    <row r="277" spans="1:12" ht="13" x14ac:dyDescent="0.15">
      <c r="A277" s="7"/>
      <c r="B277" s="31"/>
      <c r="C277" s="31"/>
      <c r="D277" s="31"/>
      <c r="E277" s="32"/>
      <c r="F277" s="32"/>
      <c r="K277" s="3"/>
      <c r="L277" s="3"/>
    </row>
    <row r="278" spans="1:12" ht="13" x14ac:dyDescent="0.15">
      <c r="A278" s="7"/>
      <c r="B278" s="31"/>
      <c r="C278" s="31"/>
      <c r="D278" s="31"/>
      <c r="E278" s="32"/>
      <c r="F278" s="32"/>
      <c r="K278" s="3"/>
      <c r="L278" s="3"/>
    </row>
    <row r="279" spans="1:12" ht="13" x14ac:dyDescent="0.15">
      <c r="A279" s="7"/>
      <c r="B279" s="31"/>
      <c r="C279" s="31"/>
      <c r="D279" s="31"/>
      <c r="E279" s="32"/>
      <c r="F279" s="32"/>
      <c r="K279" s="3"/>
      <c r="L279" s="3"/>
    </row>
    <row r="280" spans="1:12" ht="13" x14ac:dyDescent="0.15">
      <c r="A280" s="7"/>
      <c r="B280" s="31"/>
      <c r="C280" s="31"/>
      <c r="D280" s="31"/>
      <c r="E280" s="32"/>
      <c r="F280" s="32"/>
      <c r="K280" s="3"/>
      <c r="L280" s="3"/>
    </row>
    <row r="281" spans="1:12" ht="13" x14ac:dyDescent="0.15">
      <c r="A281" s="7"/>
      <c r="B281" s="31"/>
      <c r="C281" s="31"/>
      <c r="D281" s="31"/>
      <c r="E281" s="32"/>
      <c r="F281" s="32"/>
      <c r="K281" s="3"/>
      <c r="L281" s="3"/>
    </row>
    <row r="282" spans="1:12" ht="13" x14ac:dyDescent="0.15">
      <c r="A282" s="7"/>
      <c r="B282" s="31"/>
      <c r="C282" s="31"/>
      <c r="D282" s="31"/>
      <c r="E282" s="32"/>
      <c r="F282" s="32"/>
      <c r="K282" s="3"/>
      <c r="L282" s="3"/>
    </row>
    <row r="283" spans="1:12" ht="13" x14ac:dyDescent="0.15">
      <c r="A283" s="7"/>
      <c r="B283" s="31"/>
      <c r="C283" s="31"/>
      <c r="D283" s="31"/>
      <c r="E283" s="32"/>
      <c r="F283" s="32"/>
      <c r="K283" s="3"/>
      <c r="L283" s="3"/>
    </row>
    <row r="284" spans="1:12" ht="13" x14ac:dyDescent="0.15">
      <c r="A284" s="7"/>
      <c r="B284" s="31"/>
      <c r="C284" s="31"/>
      <c r="D284" s="31"/>
      <c r="E284" s="32"/>
      <c r="F284" s="32"/>
      <c r="K284" s="3"/>
      <c r="L284" s="3"/>
    </row>
    <row r="285" spans="1:12" ht="13" x14ac:dyDescent="0.15">
      <c r="A285" s="7"/>
      <c r="B285" s="31"/>
      <c r="C285" s="31"/>
      <c r="D285" s="31"/>
      <c r="E285" s="32"/>
      <c r="F285" s="32"/>
      <c r="K285" s="3"/>
      <c r="L285" s="3"/>
    </row>
    <row r="286" spans="1:12" ht="13" x14ac:dyDescent="0.15">
      <c r="A286" s="7"/>
      <c r="B286" s="31"/>
      <c r="C286" s="31"/>
      <c r="D286" s="31"/>
      <c r="E286" s="32"/>
      <c r="F286" s="32"/>
      <c r="K286" s="3"/>
      <c r="L286" s="3"/>
    </row>
    <row r="287" spans="1:12" ht="13" x14ac:dyDescent="0.15">
      <c r="A287" s="7"/>
      <c r="B287" s="31"/>
      <c r="C287" s="31"/>
      <c r="D287" s="31"/>
      <c r="E287" s="32"/>
      <c r="F287" s="32"/>
      <c r="K287" s="3"/>
      <c r="L287" s="3"/>
    </row>
    <row r="288" spans="1:12" ht="13" x14ac:dyDescent="0.15">
      <c r="A288" s="7"/>
      <c r="B288" s="31"/>
      <c r="C288" s="31"/>
      <c r="D288" s="31"/>
      <c r="E288" s="32"/>
      <c r="F288" s="32"/>
      <c r="K288" s="3"/>
      <c r="L288" s="3"/>
    </row>
    <row r="289" spans="1:12" ht="13" x14ac:dyDescent="0.15">
      <c r="A289" s="7"/>
      <c r="B289" s="31"/>
      <c r="C289" s="31"/>
      <c r="D289" s="31"/>
      <c r="E289" s="32"/>
      <c r="F289" s="32"/>
      <c r="K289" s="3"/>
      <c r="L289" s="3"/>
    </row>
    <row r="290" spans="1:12" ht="13" x14ac:dyDescent="0.15">
      <c r="A290" s="7"/>
      <c r="B290" s="31"/>
      <c r="C290" s="31"/>
      <c r="D290" s="31"/>
      <c r="E290" s="32"/>
      <c r="F290" s="32"/>
      <c r="K290" s="3"/>
      <c r="L290" s="3"/>
    </row>
    <row r="291" spans="1:12" ht="13" x14ac:dyDescent="0.15">
      <c r="A291" s="7"/>
      <c r="B291" s="31"/>
      <c r="C291" s="31"/>
      <c r="D291" s="31"/>
      <c r="E291" s="32"/>
      <c r="F291" s="32"/>
      <c r="K291" s="3"/>
      <c r="L291" s="3"/>
    </row>
    <row r="292" spans="1:12" ht="13" x14ac:dyDescent="0.15">
      <c r="A292" s="7"/>
      <c r="B292" s="31"/>
      <c r="C292" s="31"/>
      <c r="D292" s="31"/>
      <c r="E292" s="32"/>
      <c r="F292" s="32"/>
      <c r="K292" s="3"/>
      <c r="L292" s="3"/>
    </row>
    <row r="293" spans="1:12" ht="13" x14ac:dyDescent="0.15">
      <c r="A293" s="7"/>
      <c r="B293" s="31"/>
      <c r="C293" s="31"/>
      <c r="D293" s="31"/>
      <c r="E293" s="32"/>
      <c r="F293" s="32"/>
      <c r="K293" s="3"/>
      <c r="L293" s="3"/>
    </row>
    <row r="294" spans="1:12" ht="13" x14ac:dyDescent="0.15">
      <c r="A294" s="7"/>
      <c r="B294" s="31"/>
      <c r="C294" s="31"/>
      <c r="D294" s="31"/>
      <c r="E294" s="32"/>
      <c r="F294" s="32"/>
      <c r="K294" s="3"/>
      <c r="L294" s="3"/>
    </row>
    <row r="295" spans="1:12" ht="13" x14ac:dyDescent="0.15">
      <c r="A295" s="7"/>
      <c r="B295" s="31"/>
      <c r="C295" s="31"/>
      <c r="D295" s="31"/>
      <c r="E295" s="32"/>
      <c r="F295" s="32"/>
      <c r="K295" s="3"/>
      <c r="L295" s="3"/>
    </row>
    <row r="296" spans="1:12" ht="13" x14ac:dyDescent="0.15">
      <c r="A296" s="7"/>
      <c r="B296" s="31"/>
      <c r="C296" s="31"/>
      <c r="D296" s="31"/>
      <c r="E296" s="32"/>
      <c r="F296" s="32"/>
      <c r="K296" s="3"/>
      <c r="L296" s="3"/>
    </row>
    <row r="297" spans="1:12" ht="13" x14ac:dyDescent="0.15">
      <c r="A297" s="7"/>
      <c r="B297" s="31"/>
      <c r="C297" s="31"/>
      <c r="D297" s="31"/>
      <c r="E297" s="32"/>
      <c r="F297" s="32"/>
      <c r="K297" s="3"/>
      <c r="L297" s="3"/>
    </row>
    <row r="298" spans="1:12" ht="13" x14ac:dyDescent="0.15">
      <c r="A298" s="7"/>
      <c r="B298" s="31"/>
      <c r="C298" s="31"/>
      <c r="D298" s="31"/>
      <c r="E298" s="32"/>
      <c r="F298" s="32"/>
      <c r="K298" s="3"/>
      <c r="L298" s="3"/>
    </row>
    <row r="299" spans="1:12" ht="13" x14ac:dyDescent="0.15">
      <c r="A299" s="7"/>
      <c r="B299" s="31"/>
      <c r="C299" s="31"/>
      <c r="D299" s="31"/>
      <c r="E299" s="32"/>
      <c r="F299" s="32"/>
      <c r="K299" s="3"/>
      <c r="L299" s="3"/>
    </row>
    <row r="300" spans="1:12" ht="13" x14ac:dyDescent="0.15">
      <c r="A300" s="7"/>
      <c r="B300" s="31"/>
      <c r="C300" s="31"/>
      <c r="D300" s="31"/>
      <c r="E300" s="32"/>
      <c r="F300" s="32"/>
      <c r="K300" s="3"/>
      <c r="L300" s="3"/>
    </row>
    <row r="301" spans="1:12" ht="13" x14ac:dyDescent="0.15">
      <c r="A301" s="7"/>
      <c r="B301" s="31"/>
      <c r="C301" s="31"/>
      <c r="D301" s="31"/>
      <c r="E301" s="32"/>
      <c r="F301" s="32"/>
      <c r="K301" s="3"/>
      <c r="L301" s="3"/>
    </row>
    <row r="302" spans="1:12" ht="13" x14ac:dyDescent="0.15">
      <c r="A302" s="7"/>
      <c r="B302" s="31"/>
      <c r="C302" s="31"/>
      <c r="D302" s="31"/>
      <c r="E302" s="32"/>
      <c r="F302" s="32"/>
      <c r="K302" s="3"/>
      <c r="L302" s="3"/>
    </row>
    <row r="303" spans="1:12" ht="13" x14ac:dyDescent="0.15">
      <c r="A303" s="7"/>
      <c r="B303" s="31"/>
      <c r="C303" s="31"/>
      <c r="D303" s="31"/>
      <c r="E303" s="32"/>
      <c r="F303" s="32"/>
      <c r="K303" s="3"/>
      <c r="L303" s="3"/>
    </row>
    <row r="304" spans="1:12" ht="13" x14ac:dyDescent="0.15">
      <c r="A304" s="7"/>
      <c r="B304" s="31"/>
      <c r="C304" s="31"/>
      <c r="D304" s="31"/>
      <c r="E304" s="32"/>
      <c r="F304" s="32"/>
      <c r="K304" s="3"/>
      <c r="L304" s="3"/>
    </row>
    <row r="305" spans="1:12" ht="13" x14ac:dyDescent="0.15">
      <c r="A305" s="7"/>
      <c r="B305" s="31"/>
      <c r="C305" s="31"/>
      <c r="D305" s="31"/>
      <c r="E305" s="32"/>
      <c r="F305" s="32"/>
      <c r="K305" s="3"/>
      <c r="L305" s="3"/>
    </row>
    <row r="306" spans="1:12" ht="13" x14ac:dyDescent="0.15">
      <c r="A306" s="7"/>
      <c r="B306" s="31"/>
      <c r="C306" s="31"/>
      <c r="D306" s="31"/>
      <c r="E306" s="32"/>
      <c r="F306" s="32"/>
      <c r="K306" s="3"/>
      <c r="L306" s="3"/>
    </row>
    <row r="307" spans="1:12" ht="13" x14ac:dyDescent="0.15">
      <c r="A307" s="7"/>
      <c r="B307" s="31"/>
      <c r="C307" s="31"/>
      <c r="D307" s="31"/>
      <c r="E307" s="32"/>
      <c r="F307" s="32"/>
      <c r="K307" s="3"/>
      <c r="L307" s="3"/>
    </row>
    <row r="308" spans="1:12" ht="13" x14ac:dyDescent="0.15">
      <c r="A308" s="7"/>
      <c r="B308" s="31"/>
      <c r="C308" s="31"/>
      <c r="D308" s="31"/>
      <c r="E308" s="32"/>
      <c r="F308" s="32"/>
      <c r="K308" s="3"/>
      <c r="L308" s="3"/>
    </row>
    <row r="309" spans="1:12" ht="13" x14ac:dyDescent="0.15">
      <c r="A309" s="7"/>
      <c r="B309" s="31"/>
      <c r="C309" s="31"/>
      <c r="D309" s="31"/>
      <c r="E309" s="32"/>
      <c r="F309" s="32"/>
      <c r="K309" s="3"/>
      <c r="L309" s="3"/>
    </row>
    <row r="310" spans="1:12" ht="13" x14ac:dyDescent="0.15">
      <c r="A310" s="7"/>
      <c r="B310" s="31"/>
      <c r="C310" s="31"/>
      <c r="D310" s="31"/>
      <c r="E310" s="32"/>
      <c r="F310" s="32"/>
      <c r="K310" s="3"/>
      <c r="L310" s="3"/>
    </row>
    <row r="311" spans="1:12" ht="13" x14ac:dyDescent="0.15">
      <c r="A311" s="7"/>
      <c r="B311" s="31"/>
      <c r="C311" s="31"/>
      <c r="D311" s="31"/>
      <c r="E311" s="32"/>
      <c r="F311" s="32"/>
      <c r="K311" s="3"/>
      <c r="L311" s="3"/>
    </row>
    <row r="312" spans="1:12" ht="13" x14ac:dyDescent="0.15">
      <c r="A312" s="7"/>
      <c r="B312" s="31"/>
      <c r="C312" s="31"/>
      <c r="D312" s="31"/>
      <c r="E312" s="32"/>
      <c r="F312" s="32"/>
      <c r="K312" s="3"/>
      <c r="L312" s="3"/>
    </row>
    <row r="313" spans="1:12" ht="13" x14ac:dyDescent="0.15">
      <c r="A313" s="7"/>
      <c r="B313" s="31"/>
      <c r="C313" s="31"/>
      <c r="D313" s="31"/>
      <c r="E313" s="32"/>
      <c r="F313" s="32"/>
      <c r="K313" s="3"/>
      <c r="L313" s="3"/>
    </row>
    <row r="314" spans="1:12" ht="13" x14ac:dyDescent="0.15">
      <c r="A314" s="7"/>
      <c r="B314" s="31"/>
      <c r="C314" s="31"/>
      <c r="D314" s="31"/>
      <c r="E314" s="32"/>
      <c r="F314" s="32"/>
      <c r="K314" s="3"/>
      <c r="L314" s="3"/>
    </row>
    <row r="315" spans="1:12" ht="13" x14ac:dyDescent="0.15">
      <c r="A315" s="7"/>
      <c r="B315" s="31"/>
      <c r="C315" s="31"/>
      <c r="D315" s="31"/>
      <c r="E315" s="32"/>
      <c r="F315" s="32"/>
      <c r="K315" s="3"/>
      <c r="L315" s="3"/>
    </row>
    <row r="316" spans="1:12" ht="13" x14ac:dyDescent="0.15">
      <c r="A316" s="7"/>
      <c r="B316" s="31"/>
      <c r="C316" s="31"/>
      <c r="D316" s="31"/>
      <c r="E316" s="32"/>
      <c r="F316" s="32"/>
      <c r="K316" s="3"/>
      <c r="L316" s="3"/>
    </row>
    <row r="317" spans="1:12" ht="13" x14ac:dyDescent="0.15">
      <c r="A317" s="7"/>
      <c r="B317" s="31"/>
      <c r="C317" s="31"/>
      <c r="D317" s="31"/>
      <c r="E317" s="32"/>
      <c r="F317" s="32"/>
      <c r="K317" s="3"/>
      <c r="L317" s="3"/>
    </row>
    <row r="318" spans="1:12" ht="13" x14ac:dyDescent="0.15">
      <c r="A318" s="7"/>
      <c r="B318" s="31"/>
      <c r="C318" s="31"/>
      <c r="D318" s="31"/>
      <c r="E318" s="32"/>
      <c r="F318" s="32"/>
      <c r="K318" s="3"/>
      <c r="L318" s="3"/>
    </row>
    <row r="319" spans="1:12" ht="13" x14ac:dyDescent="0.15">
      <c r="A319" s="7"/>
      <c r="B319" s="31"/>
      <c r="C319" s="31"/>
      <c r="D319" s="31"/>
      <c r="E319" s="32"/>
      <c r="F319" s="32"/>
      <c r="K319" s="3"/>
      <c r="L319" s="3"/>
    </row>
    <row r="320" spans="1:12" ht="13" x14ac:dyDescent="0.15">
      <c r="A320" s="7"/>
      <c r="B320" s="31"/>
      <c r="C320" s="31"/>
      <c r="D320" s="31"/>
      <c r="E320" s="32"/>
      <c r="F320" s="32"/>
      <c r="K320" s="3"/>
      <c r="L320" s="3"/>
    </row>
    <row r="321" spans="1:12" ht="13" x14ac:dyDescent="0.15">
      <c r="A321" s="7"/>
      <c r="B321" s="31"/>
      <c r="C321" s="31"/>
      <c r="D321" s="31"/>
      <c r="E321" s="32"/>
      <c r="F321" s="32"/>
      <c r="K321" s="3"/>
      <c r="L321" s="3"/>
    </row>
    <row r="322" spans="1:12" ht="13" x14ac:dyDescent="0.15">
      <c r="A322" s="7"/>
      <c r="B322" s="31"/>
      <c r="C322" s="31"/>
      <c r="D322" s="31"/>
      <c r="E322" s="32"/>
      <c r="F322" s="32"/>
      <c r="K322" s="3"/>
      <c r="L322" s="3"/>
    </row>
    <row r="323" spans="1:12" ht="13" x14ac:dyDescent="0.15">
      <c r="A323" s="7"/>
      <c r="B323" s="31"/>
      <c r="C323" s="31"/>
      <c r="D323" s="31"/>
      <c r="E323" s="32"/>
      <c r="F323" s="32"/>
      <c r="K323" s="3"/>
      <c r="L323" s="3"/>
    </row>
    <row r="324" spans="1:12" ht="13" x14ac:dyDescent="0.15">
      <c r="A324" s="7"/>
      <c r="B324" s="31"/>
      <c r="C324" s="31"/>
      <c r="D324" s="31"/>
      <c r="E324" s="32"/>
      <c r="F324" s="32"/>
      <c r="K324" s="3"/>
      <c r="L324" s="3"/>
    </row>
    <row r="325" spans="1:12" ht="13" x14ac:dyDescent="0.15">
      <c r="A325" s="7"/>
      <c r="B325" s="31"/>
      <c r="C325" s="31"/>
      <c r="D325" s="31"/>
      <c r="E325" s="32"/>
      <c r="F325" s="32"/>
      <c r="K325" s="3"/>
      <c r="L325" s="3"/>
    </row>
    <row r="326" spans="1:12" ht="13" x14ac:dyDescent="0.15">
      <c r="A326" s="7"/>
      <c r="B326" s="31"/>
      <c r="C326" s="31"/>
      <c r="D326" s="31"/>
      <c r="E326" s="32"/>
      <c r="F326" s="32"/>
      <c r="K326" s="3"/>
      <c r="L326" s="3"/>
    </row>
    <row r="327" spans="1:12" ht="13" x14ac:dyDescent="0.15">
      <c r="A327" s="7"/>
      <c r="B327" s="31"/>
      <c r="C327" s="31"/>
      <c r="D327" s="31"/>
      <c r="E327" s="32"/>
      <c r="F327" s="32"/>
      <c r="K327" s="3"/>
      <c r="L327" s="3"/>
    </row>
    <row r="328" spans="1:12" ht="13" x14ac:dyDescent="0.15">
      <c r="A328" s="7"/>
      <c r="B328" s="31"/>
      <c r="C328" s="31"/>
      <c r="D328" s="31"/>
      <c r="E328" s="32"/>
      <c r="F328" s="32"/>
      <c r="K328" s="3"/>
      <c r="L328" s="3"/>
    </row>
    <row r="329" spans="1:12" ht="13" x14ac:dyDescent="0.15">
      <c r="A329" s="7"/>
      <c r="B329" s="31"/>
      <c r="C329" s="31"/>
      <c r="D329" s="31"/>
      <c r="E329" s="32"/>
      <c r="F329" s="32"/>
      <c r="K329" s="3"/>
      <c r="L329" s="3"/>
    </row>
    <row r="330" spans="1:12" ht="13" x14ac:dyDescent="0.15">
      <c r="A330" s="7"/>
      <c r="B330" s="31"/>
      <c r="C330" s="31"/>
      <c r="D330" s="31"/>
      <c r="E330" s="32"/>
      <c r="F330" s="32"/>
      <c r="K330" s="3"/>
      <c r="L330" s="3"/>
    </row>
    <row r="331" spans="1:12" ht="13" x14ac:dyDescent="0.15">
      <c r="A331" s="7"/>
      <c r="B331" s="31"/>
      <c r="C331" s="31"/>
      <c r="D331" s="31"/>
      <c r="E331" s="32"/>
      <c r="F331" s="32"/>
      <c r="K331" s="3"/>
      <c r="L331" s="3"/>
    </row>
    <row r="332" spans="1:12" ht="13" x14ac:dyDescent="0.15">
      <c r="A332" s="7"/>
      <c r="B332" s="31"/>
      <c r="C332" s="31"/>
      <c r="D332" s="31"/>
      <c r="E332" s="32"/>
      <c r="F332" s="32"/>
      <c r="K332" s="3"/>
      <c r="L332" s="3"/>
    </row>
    <row r="333" spans="1:12" ht="13" x14ac:dyDescent="0.15">
      <c r="A333" s="7"/>
      <c r="B333" s="31"/>
      <c r="C333" s="31"/>
      <c r="D333" s="31"/>
      <c r="E333" s="32"/>
      <c r="F333" s="32"/>
      <c r="K333" s="3"/>
      <c r="L333" s="3"/>
    </row>
    <row r="334" spans="1:12" ht="13" x14ac:dyDescent="0.15">
      <c r="A334" s="7"/>
      <c r="B334" s="31"/>
      <c r="C334" s="31"/>
      <c r="D334" s="31"/>
      <c r="E334" s="32"/>
      <c r="F334" s="32"/>
      <c r="K334" s="3"/>
      <c r="L334" s="3"/>
    </row>
    <row r="335" spans="1:12" ht="13" x14ac:dyDescent="0.15">
      <c r="A335" s="7"/>
      <c r="B335" s="31"/>
      <c r="C335" s="31"/>
      <c r="D335" s="31"/>
      <c r="E335" s="32"/>
      <c r="F335" s="32"/>
      <c r="K335" s="3"/>
      <c r="L335" s="3"/>
    </row>
    <row r="336" spans="1:12" ht="13" x14ac:dyDescent="0.15">
      <c r="A336" s="7"/>
      <c r="B336" s="31"/>
      <c r="C336" s="31"/>
      <c r="D336" s="31"/>
      <c r="E336" s="32"/>
      <c r="F336" s="32"/>
      <c r="K336" s="3"/>
      <c r="L336" s="3"/>
    </row>
    <row r="337" spans="1:12" ht="13" x14ac:dyDescent="0.15">
      <c r="A337" s="7"/>
      <c r="B337" s="31"/>
      <c r="C337" s="31"/>
      <c r="D337" s="31"/>
      <c r="E337" s="32"/>
      <c r="F337" s="32"/>
      <c r="K337" s="3"/>
      <c r="L337" s="3"/>
    </row>
    <row r="338" spans="1:12" ht="13" x14ac:dyDescent="0.15">
      <c r="A338" s="7"/>
      <c r="B338" s="31"/>
      <c r="C338" s="31"/>
      <c r="D338" s="31"/>
      <c r="E338" s="32"/>
      <c r="F338" s="32"/>
      <c r="K338" s="3"/>
      <c r="L338" s="3"/>
    </row>
    <row r="339" spans="1:12" ht="13" x14ac:dyDescent="0.15">
      <c r="A339" s="7"/>
      <c r="B339" s="31"/>
      <c r="C339" s="31"/>
      <c r="D339" s="31"/>
      <c r="E339" s="32"/>
      <c r="F339" s="32"/>
      <c r="K339" s="3"/>
      <c r="L339" s="3"/>
    </row>
    <row r="340" spans="1:12" ht="13" x14ac:dyDescent="0.15">
      <c r="A340" s="7"/>
      <c r="B340" s="31"/>
      <c r="C340" s="31"/>
      <c r="D340" s="31"/>
      <c r="E340" s="32"/>
      <c r="F340" s="32"/>
      <c r="K340" s="3"/>
      <c r="L340" s="3"/>
    </row>
    <row r="341" spans="1:12" ht="13" x14ac:dyDescent="0.15">
      <c r="A341" s="7"/>
      <c r="B341" s="31"/>
      <c r="C341" s="31"/>
      <c r="D341" s="31"/>
      <c r="E341" s="32"/>
      <c r="F341" s="32"/>
      <c r="K341" s="3"/>
      <c r="L341" s="3"/>
    </row>
    <row r="342" spans="1:12" ht="13" x14ac:dyDescent="0.15">
      <c r="A342" s="7"/>
      <c r="B342" s="31"/>
      <c r="C342" s="31"/>
      <c r="D342" s="31"/>
      <c r="E342" s="32"/>
      <c r="F342" s="32"/>
      <c r="K342" s="3"/>
      <c r="L342" s="3"/>
    </row>
    <row r="343" spans="1:12" ht="13" x14ac:dyDescent="0.15">
      <c r="A343" s="7"/>
      <c r="B343" s="31"/>
      <c r="C343" s="31"/>
      <c r="D343" s="31"/>
      <c r="E343" s="32"/>
      <c r="F343" s="32"/>
      <c r="K343" s="3"/>
      <c r="L343" s="3"/>
    </row>
    <row r="344" spans="1:12" ht="13" x14ac:dyDescent="0.15">
      <c r="A344" s="7"/>
      <c r="B344" s="31"/>
      <c r="C344" s="31"/>
      <c r="D344" s="31"/>
      <c r="E344" s="32"/>
      <c r="F344" s="32"/>
      <c r="K344" s="3"/>
      <c r="L344" s="3"/>
    </row>
    <row r="345" spans="1:12" ht="13" x14ac:dyDescent="0.15">
      <c r="A345" s="7"/>
      <c r="B345" s="31"/>
      <c r="C345" s="31"/>
      <c r="D345" s="31"/>
      <c r="E345" s="32"/>
      <c r="F345" s="32"/>
      <c r="K345" s="3"/>
      <c r="L345" s="3"/>
    </row>
    <row r="346" spans="1:12" ht="13" x14ac:dyDescent="0.15">
      <c r="A346" s="7"/>
      <c r="B346" s="31"/>
      <c r="C346" s="31"/>
      <c r="D346" s="31"/>
      <c r="E346" s="32"/>
      <c r="F346" s="32"/>
      <c r="K346" s="3"/>
      <c r="L346" s="3"/>
    </row>
    <row r="347" spans="1:12" ht="13" x14ac:dyDescent="0.15">
      <c r="A347" s="7"/>
      <c r="B347" s="31"/>
      <c r="C347" s="31"/>
      <c r="D347" s="31"/>
      <c r="E347" s="32"/>
      <c r="F347" s="32"/>
      <c r="K347" s="3"/>
      <c r="L347" s="3"/>
    </row>
    <row r="348" spans="1:12" ht="13" x14ac:dyDescent="0.15">
      <c r="A348" s="7"/>
      <c r="B348" s="31"/>
      <c r="C348" s="31"/>
      <c r="D348" s="31"/>
      <c r="E348" s="32"/>
      <c r="F348" s="32"/>
      <c r="K348" s="3"/>
      <c r="L348" s="3"/>
    </row>
    <row r="349" spans="1:12" ht="13" x14ac:dyDescent="0.15">
      <c r="A349" s="7"/>
      <c r="B349" s="31"/>
      <c r="C349" s="31"/>
      <c r="D349" s="31"/>
      <c r="E349" s="32"/>
      <c r="F349" s="32"/>
      <c r="K349" s="3"/>
      <c r="L349" s="3"/>
    </row>
    <row r="350" spans="1:12" ht="13" x14ac:dyDescent="0.15">
      <c r="A350" s="7"/>
      <c r="B350" s="31"/>
      <c r="C350" s="31"/>
      <c r="D350" s="31"/>
      <c r="E350" s="32"/>
      <c r="F350" s="32"/>
      <c r="K350" s="3"/>
      <c r="L350" s="3"/>
    </row>
    <row r="351" spans="1:12" ht="13" x14ac:dyDescent="0.15">
      <c r="A351" s="7"/>
      <c r="B351" s="31"/>
      <c r="C351" s="31"/>
      <c r="D351" s="31"/>
      <c r="E351" s="32"/>
      <c r="F351" s="32"/>
      <c r="K351" s="3"/>
      <c r="L351" s="3"/>
    </row>
    <row r="352" spans="1:12" ht="13" x14ac:dyDescent="0.15">
      <c r="A352" s="7"/>
      <c r="B352" s="31"/>
      <c r="C352" s="31"/>
      <c r="D352" s="31"/>
      <c r="E352" s="32"/>
      <c r="F352" s="32"/>
      <c r="K352" s="3"/>
      <c r="L352" s="3"/>
    </row>
    <row r="353" spans="1:12" ht="13" x14ac:dyDescent="0.15">
      <c r="A353" s="7"/>
      <c r="B353" s="31"/>
      <c r="C353" s="31"/>
      <c r="D353" s="31"/>
      <c r="E353" s="32"/>
      <c r="F353" s="32"/>
      <c r="K353" s="3"/>
      <c r="L353" s="3"/>
    </row>
    <row r="354" spans="1:12" ht="13" x14ac:dyDescent="0.15">
      <c r="A354" s="7"/>
      <c r="B354" s="31"/>
      <c r="C354" s="31"/>
      <c r="D354" s="31"/>
      <c r="E354" s="32"/>
      <c r="F354" s="32"/>
      <c r="K354" s="3"/>
      <c r="L354" s="3"/>
    </row>
    <row r="355" spans="1:12" ht="13" x14ac:dyDescent="0.15">
      <c r="A355" s="7"/>
      <c r="B355" s="31"/>
      <c r="C355" s="31"/>
      <c r="D355" s="31"/>
      <c r="E355" s="32"/>
      <c r="F355" s="32"/>
      <c r="K355" s="3"/>
      <c r="L355" s="3"/>
    </row>
    <row r="356" spans="1:12" ht="13" x14ac:dyDescent="0.15">
      <c r="A356" s="7"/>
      <c r="B356" s="31"/>
      <c r="C356" s="31"/>
      <c r="D356" s="31"/>
      <c r="E356" s="32"/>
      <c r="F356" s="32"/>
      <c r="K356" s="3"/>
      <c r="L356" s="3"/>
    </row>
    <row r="357" spans="1:12" ht="13" x14ac:dyDescent="0.15">
      <c r="A357" s="7"/>
      <c r="B357" s="31"/>
      <c r="C357" s="31"/>
      <c r="D357" s="31"/>
      <c r="E357" s="32"/>
      <c r="F357" s="32"/>
      <c r="K357" s="3"/>
      <c r="L357" s="3"/>
    </row>
    <row r="358" spans="1:12" ht="13" x14ac:dyDescent="0.15">
      <c r="A358" s="7"/>
      <c r="B358" s="31"/>
      <c r="C358" s="31"/>
      <c r="D358" s="31"/>
      <c r="E358" s="32"/>
      <c r="F358" s="32"/>
      <c r="K358" s="3"/>
      <c r="L358" s="3"/>
    </row>
    <row r="359" spans="1:12" ht="13" x14ac:dyDescent="0.15">
      <c r="A359" s="7"/>
      <c r="B359" s="31"/>
      <c r="C359" s="31"/>
      <c r="D359" s="31"/>
      <c r="E359" s="32"/>
      <c r="F359" s="32"/>
      <c r="K359" s="3"/>
      <c r="L359" s="3"/>
    </row>
    <row r="360" spans="1:12" ht="13" x14ac:dyDescent="0.15">
      <c r="A360" s="7"/>
      <c r="B360" s="31"/>
      <c r="C360" s="31"/>
      <c r="D360" s="31"/>
      <c r="E360" s="32"/>
      <c r="F360" s="32"/>
      <c r="K360" s="3"/>
      <c r="L360" s="3"/>
    </row>
    <row r="361" spans="1:12" ht="13" x14ac:dyDescent="0.15">
      <c r="A361" s="7"/>
      <c r="B361" s="31"/>
      <c r="C361" s="31"/>
      <c r="D361" s="31"/>
      <c r="E361" s="32"/>
      <c r="F361" s="32"/>
      <c r="K361" s="3"/>
      <c r="L361" s="3"/>
    </row>
    <row r="362" spans="1:12" ht="13" x14ac:dyDescent="0.15">
      <c r="A362" s="7"/>
      <c r="B362" s="31"/>
      <c r="C362" s="31"/>
      <c r="D362" s="31"/>
      <c r="E362" s="32"/>
      <c r="F362" s="32"/>
      <c r="K362" s="3"/>
      <c r="L362" s="3"/>
    </row>
    <row r="363" spans="1:12" ht="13" x14ac:dyDescent="0.15">
      <c r="A363" s="7"/>
      <c r="B363" s="31"/>
      <c r="C363" s="31"/>
      <c r="D363" s="31"/>
      <c r="E363" s="32"/>
      <c r="F363" s="32"/>
      <c r="K363" s="3"/>
      <c r="L363" s="3"/>
    </row>
    <row r="364" spans="1:12" ht="13" x14ac:dyDescent="0.15">
      <c r="A364" s="7"/>
      <c r="B364" s="31"/>
      <c r="C364" s="31"/>
      <c r="D364" s="31"/>
      <c r="E364" s="32"/>
      <c r="F364" s="32"/>
      <c r="K364" s="3"/>
      <c r="L364" s="3"/>
    </row>
    <row r="365" spans="1:12" ht="13" x14ac:dyDescent="0.15">
      <c r="A365" s="7"/>
      <c r="B365" s="31"/>
      <c r="C365" s="31"/>
      <c r="D365" s="31"/>
      <c r="E365" s="32"/>
      <c r="F365" s="32"/>
      <c r="K365" s="3"/>
      <c r="L365" s="3"/>
    </row>
    <row r="366" spans="1:12" ht="13" x14ac:dyDescent="0.15">
      <c r="A366" s="7"/>
      <c r="B366" s="31"/>
      <c r="C366" s="31"/>
      <c r="D366" s="31"/>
      <c r="E366" s="32"/>
      <c r="F366" s="32"/>
      <c r="K366" s="3"/>
      <c r="L366" s="3"/>
    </row>
    <row r="367" spans="1:12" ht="13" x14ac:dyDescent="0.15">
      <c r="A367" s="7"/>
      <c r="B367" s="31"/>
      <c r="C367" s="31"/>
      <c r="D367" s="31"/>
      <c r="E367" s="32"/>
      <c r="F367" s="32"/>
      <c r="K367" s="3"/>
      <c r="L367" s="3"/>
    </row>
    <row r="368" spans="1:12" ht="13" x14ac:dyDescent="0.15">
      <c r="A368" s="7"/>
      <c r="B368" s="31"/>
      <c r="C368" s="31"/>
      <c r="D368" s="31"/>
      <c r="E368" s="32"/>
      <c r="F368" s="32"/>
      <c r="K368" s="3"/>
      <c r="L368" s="3"/>
    </row>
    <row r="369" spans="1:12" ht="13" x14ac:dyDescent="0.15">
      <c r="A369" s="7"/>
      <c r="B369" s="31"/>
      <c r="C369" s="31"/>
      <c r="D369" s="31"/>
      <c r="E369" s="32"/>
      <c r="F369" s="32"/>
      <c r="K369" s="3"/>
      <c r="L369" s="3"/>
    </row>
    <row r="370" spans="1:12" ht="13" x14ac:dyDescent="0.15">
      <c r="A370" s="7"/>
      <c r="B370" s="31"/>
      <c r="C370" s="31"/>
      <c r="D370" s="31"/>
      <c r="E370" s="32"/>
      <c r="F370" s="32"/>
      <c r="K370" s="3"/>
      <c r="L370" s="3"/>
    </row>
    <row r="371" spans="1:12" ht="13" x14ac:dyDescent="0.15">
      <c r="A371" s="7"/>
      <c r="B371" s="31"/>
      <c r="C371" s="31"/>
      <c r="D371" s="31"/>
      <c r="E371" s="32"/>
      <c r="F371" s="32"/>
      <c r="K371" s="3"/>
      <c r="L371" s="3"/>
    </row>
    <row r="372" spans="1:12" ht="13" x14ac:dyDescent="0.15">
      <c r="A372" s="7"/>
      <c r="B372" s="31"/>
      <c r="C372" s="31"/>
      <c r="D372" s="31"/>
      <c r="E372" s="32"/>
      <c r="F372" s="32"/>
      <c r="K372" s="3"/>
      <c r="L372" s="3"/>
    </row>
    <row r="373" spans="1:12" ht="13" x14ac:dyDescent="0.15">
      <c r="A373" s="7"/>
      <c r="B373" s="31"/>
      <c r="C373" s="31"/>
      <c r="D373" s="31"/>
      <c r="E373" s="32"/>
      <c r="F373" s="32"/>
      <c r="K373" s="3"/>
      <c r="L373" s="3"/>
    </row>
    <row r="374" spans="1:12" ht="13" x14ac:dyDescent="0.15">
      <c r="A374" s="7"/>
      <c r="B374" s="31"/>
      <c r="C374" s="31"/>
      <c r="D374" s="31"/>
      <c r="E374" s="32"/>
      <c r="F374" s="32"/>
      <c r="K374" s="3"/>
      <c r="L374" s="3"/>
    </row>
    <row r="375" spans="1:12" ht="13" x14ac:dyDescent="0.15">
      <c r="A375" s="7"/>
      <c r="B375" s="31"/>
      <c r="C375" s="31"/>
      <c r="D375" s="31"/>
      <c r="E375" s="32"/>
      <c r="F375" s="32"/>
      <c r="K375" s="3"/>
      <c r="L375" s="3"/>
    </row>
    <row r="376" spans="1:12" ht="13" x14ac:dyDescent="0.15">
      <c r="A376" s="7"/>
      <c r="B376" s="31"/>
      <c r="C376" s="31"/>
      <c r="D376" s="31"/>
      <c r="E376" s="32"/>
      <c r="F376" s="32"/>
      <c r="K376" s="3"/>
      <c r="L376" s="3"/>
    </row>
    <row r="377" spans="1:12" ht="13" x14ac:dyDescent="0.15">
      <c r="A377" s="7"/>
      <c r="B377" s="31"/>
      <c r="C377" s="31"/>
      <c r="D377" s="31"/>
      <c r="E377" s="32"/>
      <c r="F377" s="32"/>
      <c r="K377" s="3"/>
      <c r="L377" s="3"/>
    </row>
    <row r="378" spans="1:12" ht="13" x14ac:dyDescent="0.15">
      <c r="A378" s="7"/>
      <c r="B378" s="31"/>
      <c r="C378" s="31"/>
      <c r="D378" s="31"/>
      <c r="E378" s="32"/>
      <c r="F378" s="32"/>
      <c r="K378" s="3"/>
      <c r="L378" s="3"/>
    </row>
    <row r="379" spans="1:12" ht="13" x14ac:dyDescent="0.15">
      <c r="A379" s="7"/>
      <c r="B379" s="31"/>
      <c r="C379" s="31"/>
      <c r="D379" s="31"/>
      <c r="E379" s="32"/>
      <c r="F379" s="32"/>
      <c r="K379" s="3"/>
      <c r="L379" s="3"/>
    </row>
    <row r="380" spans="1:12" ht="13" x14ac:dyDescent="0.15">
      <c r="A380" s="7"/>
      <c r="B380" s="31"/>
      <c r="C380" s="31"/>
      <c r="D380" s="31"/>
      <c r="E380" s="32"/>
      <c r="F380" s="32"/>
      <c r="K380" s="3"/>
      <c r="L380" s="3"/>
    </row>
    <row r="381" spans="1:12" ht="13" x14ac:dyDescent="0.15">
      <c r="A381" s="7"/>
      <c r="B381" s="31"/>
      <c r="C381" s="31"/>
      <c r="D381" s="31"/>
      <c r="E381" s="32"/>
      <c r="F381" s="32"/>
      <c r="K381" s="3"/>
      <c r="L381" s="3"/>
    </row>
    <row r="382" spans="1:12" ht="13" x14ac:dyDescent="0.15">
      <c r="A382" s="7"/>
      <c r="B382" s="31"/>
      <c r="C382" s="31"/>
      <c r="D382" s="31"/>
      <c r="E382" s="32"/>
      <c r="F382" s="32"/>
      <c r="K382" s="3"/>
      <c r="L382" s="3"/>
    </row>
    <row r="383" spans="1:12" ht="13" x14ac:dyDescent="0.15">
      <c r="A383" s="7"/>
      <c r="B383" s="31"/>
      <c r="C383" s="31"/>
      <c r="D383" s="31"/>
      <c r="E383" s="32"/>
      <c r="F383" s="32"/>
      <c r="K383" s="3"/>
      <c r="L383" s="3"/>
    </row>
    <row r="384" spans="1:12" ht="13" x14ac:dyDescent="0.15">
      <c r="A384" s="7"/>
      <c r="B384" s="31"/>
      <c r="C384" s="31"/>
      <c r="D384" s="31"/>
      <c r="E384" s="32"/>
      <c r="F384" s="32"/>
      <c r="K384" s="3"/>
      <c r="L384" s="3"/>
    </row>
    <row r="385" spans="1:12" ht="13" x14ac:dyDescent="0.15">
      <c r="A385" s="7"/>
      <c r="B385" s="31"/>
      <c r="C385" s="31"/>
      <c r="D385" s="31"/>
      <c r="E385" s="32"/>
      <c r="F385" s="32"/>
      <c r="K385" s="3"/>
      <c r="L385" s="3"/>
    </row>
    <row r="386" spans="1:12" ht="13" x14ac:dyDescent="0.15">
      <c r="A386" s="7"/>
      <c r="B386" s="31"/>
      <c r="C386" s="31"/>
      <c r="D386" s="31"/>
      <c r="E386" s="32"/>
      <c r="F386" s="32"/>
      <c r="K386" s="3"/>
      <c r="L386" s="3"/>
    </row>
    <row r="387" spans="1:12" ht="13" x14ac:dyDescent="0.15">
      <c r="A387" s="7"/>
      <c r="B387" s="31"/>
      <c r="C387" s="31"/>
      <c r="D387" s="31"/>
      <c r="E387" s="32"/>
      <c r="F387" s="32"/>
      <c r="K387" s="3"/>
      <c r="L387" s="3"/>
    </row>
    <row r="388" spans="1:12" ht="13" x14ac:dyDescent="0.15">
      <c r="A388" s="7"/>
      <c r="B388" s="31"/>
      <c r="C388" s="31"/>
      <c r="D388" s="31"/>
      <c r="E388" s="32"/>
      <c r="F388" s="32"/>
      <c r="K388" s="3"/>
      <c r="L388" s="3"/>
    </row>
    <row r="389" spans="1:12" ht="13" x14ac:dyDescent="0.15">
      <c r="A389" s="7"/>
      <c r="B389" s="31"/>
      <c r="C389" s="31"/>
      <c r="D389" s="31"/>
      <c r="E389" s="32"/>
      <c r="F389" s="32"/>
      <c r="K389" s="3"/>
      <c r="L389" s="3"/>
    </row>
    <row r="390" spans="1:12" ht="13" x14ac:dyDescent="0.15">
      <c r="A390" s="7"/>
      <c r="B390" s="31"/>
      <c r="C390" s="31"/>
      <c r="D390" s="31"/>
      <c r="E390" s="32"/>
      <c r="F390" s="32"/>
      <c r="K390" s="3"/>
      <c r="L390" s="3"/>
    </row>
    <row r="391" spans="1:12" ht="13" x14ac:dyDescent="0.15">
      <c r="A391" s="7"/>
      <c r="B391" s="31"/>
      <c r="C391" s="31"/>
      <c r="D391" s="31"/>
      <c r="E391" s="32"/>
      <c r="F391" s="32"/>
      <c r="K391" s="3"/>
      <c r="L391" s="3"/>
    </row>
    <row r="392" spans="1:12" ht="13" x14ac:dyDescent="0.15">
      <c r="A392" s="7"/>
      <c r="B392" s="31"/>
      <c r="C392" s="31"/>
      <c r="D392" s="31"/>
      <c r="E392" s="32"/>
      <c r="F392" s="32"/>
      <c r="K392" s="3"/>
      <c r="L392" s="3"/>
    </row>
    <row r="393" spans="1:12" ht="13" x14ac:dyDescent="0.15">
      <c r="A393" s="7"/>
      <c r="B393" s="31"/>
      <c r="C393" s="31"/>
      <c r="D393" s="31"/>
      <c r="E393" s="32"/>
      <c r="F393" s="32"/>
      <c r="K393" s="3"/>
      <c r="L393" s="3"/>
    </row>
    <row r="394" spans="1:12" ht="13" x14ac:dyDescent="0.15">
      <c r="A394" s="7"/>
      <c r="B394" s="31"/>
      <c r="C394" s="31"/>
      <c r="D394" s="31"/>
      <c r="E394" s="32"/>
      <c r="F394" s="32"/>
      <c r="K394" s="3"/>
      <c r="L394" s="3"/>
    </row>
    <row r="395" spans="1:12" ht="13" x14ac:dyDescent="0.15">
      <c r="A395" s="7"/>
      <c r="B395" s="31"/>
      <c r="C395" s="31"/>
      <c r="D395" s="31"/>
      <c r="E395" s="32"/>
      <c r="F395" s="32"/>
      <c r="K395" s="3"/>
      <c r="L395" s="3"/>
    </row>
    <row r="396" spans="1:12" ht="13" x14ac:dyDescent="0.15">
      <c r="A396" s="7"/>
      <c r="B396" s="31"/>
      <c r="C396" s="31"/>
      <c r="D396" s="31"/>
      <c r="E396" s="32"/>
      <c r="F396" s="32"/>
      <c r="K396" s="3"/>
      <c r="L396" s="3"/>
    </row>
    <row r="397" spans="1:12" ht="13" x14ac:dyDescent="0.15">
      <c r="A397" s="7"/>
      <c r="B397" s="31"/>
      <c r="C397" s="31"/>
      <c r="D397" s="31"/>
      <c r="E397" s="32"/>
      <c r="F397" s="32"/>
      <c r="K397" s="3"/>
      <c r="L397" s="3"/>
    </row>
    <row r="398" spans="1:12" ht="13" x14ac:dyDescent="0.15">
      <c r="A398" s="7"/>
      <c r="B398" s="31"/>
      <c r="C398" s="31"/>
      <c r="D398" s="31"/>
      <c r="E398" s="32"/>
      <c r="F398" s="32"/>
      <c r="K398" s="3"/>
      <c r="L398" s="3"/>
    </row>
    <row r="399" spans="1:12" ht="13" x14ac:dyDescent="0.15">
      <c r="A399" s="7"/>
      <c r="B399" s="31"/>
      <c r="C399" s="31"/>
      <c r="D399" s="31"/>
      <c r="E399" s="32"/>
      <c r="F399" s="32"/>
      <c r="K399" s="3"/>
      <c r="L399" s="3"/>
    </row>
    <row r="400" spans="1:12" ht="13" x14ac:dyDescent="0.15">
      <c r="A400" s="7"/>
      <c r="B400" s="31"/>
      <c r="C400" s="31"/>
      <c r="D400" s="31"/>
      <c r="E400" s="32"/>
      <c r="F400" s="32"/>
      <c r="K400" s="3"/>
      <c r="L400" s="3"/>
    </row>
    <row r="401" spans="1:12" ht="13" x14ac:dyDescent="0.15">
      <c r="A401" s="7"/>
      <c r="B401" s="31"/>
      <c r="C401" s="31"/>
      <c r="D401" s="31"/>
      <c r="E401" s="32"/>
      <c r="F401" s="32"/>
      <c r="K401" s="3"/>
      <c r="L401" s="3"/>
    </row>
    <row r="402" spans="1:12" ht="13" x14ac:dyDescent="0.15">
      <c r="A402" s="7"/>
      <c r="B402" s="31"/>
      <c r="C402" s="31"/>
      <c r="D402" s="31"/>
      <c r="E402" s="32"/>
      <c r="F402" s="32"/>
      <c r="K402" s="3"/>
      <c r="L402" s="3"/>
    </row>
    <row r="403" spans="1:12" ht="13" x14ac:dyDescent="0.15">
      <c r="A403" s="7"/>
      <c r="B403" s="31"/>
      <c r="C403" s="31"/>
      <c r="D403" s="31"/>
      <c r="E403" s="32"/>
      <c r="F403" s="32"/>
      <c r="K403" s="3"/>
      <c r="L403" s="3"/>
    </row>
    <row r="404" spans="1:12" ht="13" x14ac:dyDescent="0.15">
      <c r="A404" s="7"/>
      <c r="B404" s="31"/>
      <c r="C404" s="31"/>
      <c r="D404" s="31"/>
      <c r="E404" s="32"/>
      <c r="F404" s="32"/>
      <c r="K404" s="3"/>
      <c r="L404" s="3"/>
    </row>
    <row r="405" spans="1:12" ht="13" x14ac:dyDescent="0.15">
      <c r="A405" s="7"/>
      <c r="B405" s="31"/>
      <c r="C405" s="31"/>
      <c r="D405" s="31"/>
      <c r="E405" s="32"/>
      <c r="F405" s="32"/>
      <c r="K405" s="3"/>
      <c r="L405" s="3"/>
    </row>
    <row r="406" spans="1:12" ht="13" x14ac:dyDescent="0.15">
      <c r="A406" s="7"/>
      <c r="B406" s="31"/>
      <c r="C406" s="31"/>
      <c r="D406" s="31"/>
      <c r="E406" s="32"/>
      <c r="F406" s="32"/>
      <c r="K406" s="3"/>
      <c r="L406" s="3"/>
    </row>
    <row r="407" spans="1:12" ht="13" x14ac:dyDescent="0.15">
      <c r="A407" s="7"/>
      <c r="B407" s="31"/>
      <c r="C407" s="31"/>
      <c r="D407" s="31"/>
      <c r="E407" s="32"/>
      <c r="F407" s="32"/>
      <c r="K407" s="3"/>
      <c r="L407" s="3"/>
    </row>
    <row r="408" spans="1:12" ht="13" x14ac:dyDescent="0.15">
      <c r="A408" s="7"/>
      <c r="B408" s="31"/>
      <c r="C408" s="31"/>
      <c r="D408" s="31"/>
      <c r="E408" s="32"/>
      <c r="F408" s="32"/>
      <c r="K408" s="3"/>
      <c r="L408" s="3"/>
    </row>
    <row r="409" spans="1:12" ht="13" x14ac:dyDescent="0.15">
      <c r="A409" s="7"/>
      <c r="B409" s="31"/>
      <c r="C409" s="31"/>
      <c r="D409" s="31"/>
      <c r="E409" s="32"/>
      <c r="F409" s="32"/>
      <c r="K409" s="3"/>
      <c r="L409" s="3"/>
    </row>
    <row r="410" spans="1:12" ht="13" x14ac:dyDescent="0.15">
      <c r="A410" s="7"/>
      <c r="B410" s="31"/>
      <c r="C410" s="31"/>
      <c r="D410" s="31"/>
      <c r="E410" s="32"/>
      <c r="F410" s="32"/>
      <c r="K410" s="3"/>
      <c r="L410" s="3"/>
    </row>
    <row r="411" spans="1:12" ht="13" x14ac:dyDescent="0.15">
      <c r="A411" s="7"/>
      <c r="B411" s="31"/>
      <c r="C411" s="31"/>
      <c r="D411" s="31"/>
      <c r="E411" s="32"/>
      <c r="F411" s="32"/>
      <c r="K411" s="3"/>
      <c r="L411" s="3"/>
    </row>
    <row r="412" spans="1:12" ht="13" x14ac:dyDescent="0.15">
      <c r="A412" s="7"/>
      <c r="B412" s="31"/>
      <c r="C412" s="31"/>
      <c r="D412" s="31"/>
      <c r="E412" s="32"/>
      <c r="F412" s="32"/>
      <c r="K412" s="3"/>
      <c r="L412" s="3"/>
    </row>
    <row r="413" spans="1:12" ht="13" x14ac:dyDescent="0.15">
      <c r="A413" s="7"/>
      <c r="B413" s="31"/>
      <c r="C413" s="31"/>
      <c r="D413" s="31"/>
      <c r="E413" s="32"/>
      <c r="F413" s="32"/>
      <c r="K413" s="3"/>
      <c r="L413" s="3"/>
    </row>
    <row r="414" spans="1:12" ht="13" x14ac:dyDescent="0.15">
      <c r="A414" s="7"/>
      <c r="B414" s="31"/>
      <c r="C414" s="31"/>
      <c r="D414" s="31"/>
      <c r="E414" s="32"/>
      <c r="F414" s="32"/>
      <c r="K414" s="3"/>
      <c r="L414" s="3"/>
    </row>
    <row r="415" spans="1:12" ht="13" x14ac:dyDescent="0.15">
      <c r="A415" s="7"/>
      <c r="B415" s="31"/>
      <c r="C415" s="31"/>
      <c r="D415" s="31"/>
      <c r="E415" s="32"/>
      <c r="F415" s="32"/>
      <c r="K415" s="3"/>
      <c r="L415" s="3"/>
    </row>
    <row r="416" spans="1:12" ht="13" x14ac:dyDescent="0.15">
      <c r="A416" s="7"/>
      <c r="B416" s="31"/>
      <c r="C416" s="31"/>
      <c r="D416" s="31"/>
      <c r="E416" s="32"/>
      <c r="F416" s="32"/>
      <c r="K416" s="3"/>
      <c r="L416" s="3"/>
    </row>
    <row r="417" spans="1:12" ht="13" x14ac:dyDescent="0.15">
      <c r="A417" s="7"/>
      <c r="B417" s="31"/>
      <c r="C417" s="31"/>
      <c r="D417" s="31"/>
      <c r="E417" s="32"/>
      <c r="F417" s="32"/>
      <c r="K417" s="3"/>
      <c r="L417" s="3"/>
    </row>
    <row r="418" spans="1:12" ht="13" x14ac:dyDescent="0.15">
      <c r="A418" s="7"/>
      <c r="B418" s="31"/>
      <c r="C418" s="31"/>
      <c r="D418" s="31"/>
      <c r="E418" s="32"/>
      <c r="F418" s="32"/>
      <c r="K418" s="3"/>
      <c r="L418" s="3"/>
    </row>
    <row r="419" spans="1:12" ht="13" x14ac:dyDescent="0.15">
      <c r="A419" s="7"/>
      <c r="B419" s="31"/>
      <c r="C419" s="31"/>
      <c r="D419" s="31"/>
      <c r="E419" s="32"/>
      <c r="F419" s="32"/>
      <c r="K419" s="3"/>
      <c r="L419" s="3"/>
    </row>
    <row r="420" spans="1:12" ht="13" x14ac:dyDescent="0.15">
      <c r="A420" s="7"/>
      <c r="B420" s="31"/>
      <c r="C420" s="31"/>
      <c r="D420" s="31"/>
      <c r="E420" s="32"/>
      <c r="F420" s="32"/>
      <c r="K420" s="3"/>
      <c r="L420" s="3"/>
    </row>
    <row r="421" spans="1:12" ht="13" x14ac:dyDescent="0.15">
      <c r="A421" s="7"/>
      <c r="B421" s="31"/>
      <c r="C421" s="31"/>
      <c r="D421" s="31"/>
      <c r="E421" s="32"/>
      <c r="F421" s="32"/>
      <c r="K421" s="3"/>
      <c r="L421" s="3"/>
    </row>
    <row r="422" spans="1:12" ht="13" x14ac:dyDescent="0.15">
      <c r="A422" s="7"/>
      <c r="B422" s="31"/>
      <c r="C422" s="31"/>
      <c r="D422" s="31"/>
      <c r="E422" s="32"/>
      <c r="F422" s="32"/>
      <c r="K422" s="3"/>
      <c r="L422" s="3"/>
    </row>
    <row r="423" spans="1:12" ht="13" x14ac:dyDescent="0.15">
      <c r="A423" s="7"/>
      <c r="B423" s="31"/>
      <c r="C423" s="31"/>
      <c r="D423" s="31"/>
      <c r="E423" s="32"/>
      <c r="F423" s="32"/>
      <c r="K423" s="3"/>
      <c r="L423" s="3"/>
    </row>
    <row r="424" spans="1:12" ht="13" x14ac:dyDescent="0.15">
      <c r="A424" s="7"/>
      <c r="B424" s="31"/>
      <c r="C424" s="31"/>
      <c r="D424" s="31"/>
      <c r="E424" s="32"/>
      <c r="F424" s="32"/>
      <c r="K424" s="3"/>
      <c r="L424" s="3"/>
    </row>
    <row r="425" spans="1:12" ht="13" x14ac:dyDescent="0.15">
      <c r="A425" s="7"/>
      <c r="B425" s="31"/>
      <c r="C425" s="31"/>
      <c r="D425" s="31"/>
      <c r="E425" s="32"/>
      <c r="F425" s="32"/>
      <c r="K425" s="3"/>
      <c r="L425" s="3"/>
    </row>
    <row r="426" spans="1:12" ht="13" x14ac:dyDescent="0.15">
      <c r="A426" s="7"/>
      <c r="B426" s="31"/>
      <c r="C426" s="31"/>
      <c r="D426" s="31"/>
      <c r="E426" s="32"/>
      <c r="F426" s="32"/>
      <c r="K426" s="3"/>
      <c r="L426" s="3"/>
    </row>
    <row r="427" spans="1:12" ht="13" x14ac:dyDescent="0.15">
      <c r="A427" s="7"/>
      <c r="B427" s="31"/>
      <c r="C427" s="31"/>
      <c r="D427" s="31"/>
      <c r="E427" s="32"/>
      <c r="F427" s="32"/>
      <c r="K427" s="3"/>
      <c r="L427" s="3"/>
    </row>
    <row r="428" spans="1:12" ht="13" x14ac:dyDescent="0.15">
      <c r="A428" s="7"/>
      <c r="B428" s="31"/>
      <c r="C428" s="31"/>
      <c r="D428" s="31"/>
      <c r="E428" s="32"/>
      <c r="F428" s="32"/>
      <c r="K428" s="3"/>
      <c r="L428" s="3"/>
    </row>
    <row r="429" spans="1:12" ht="13" x14ac:dyDescent="0.15">
      <c r="A429" s="7"/>
      <c r="B429" s="31"/>
      <c r="C429" s="31"/>
      <c r="D429" s="31"/>
      <c r="E429" s="32"/>
      <c r="F429" s="32"/>
      <c r="K429" s="3"/>
      <c r="L429" s="3"/>
    </row>
    <row r="430" spans="1:12" ht="13" x14ac:dyDescent="0.15">
      <c r="A430" s="7"/>
      <c r="B430" s="31"/>
      <c r="C430" s="31"/>
      <c r="D430" s="31"/>
      <c r="E430" s="32"/>
      <c r="F430" s="32"/>
      <c r="K430" s="3"/>
      <c r="L430" s="3"/>
    </row>
    <row r="431" spans="1:12" ht="13" x14ac:dyDescent="0.15">
      <c r="A431" s="7"/>
      <c r="B431" s="31"/>
      <c r="C431" s="31"/>
      <c r="D431" s="31"/>
      <c r="E431" s="32"/>
      <c r="F431" s="32"/>
      <c r="K431" s="3"/>
      <c r="L431" s="3"/>
    </row>
    <row r="432" spans="1:12" ht="13" x14ac:dyDescent="0.15">
      <c r="A432" s="7"/>
      <c r="B432" s="31"/>
      <c r="C432" s="31"/>
      <c r="D432" s="31"/>
      <c r="E432" s="32"/>
      <c r="F432" s="32"/>
      <c r="K432" s="3"/>
      <c r="L432" s="3"/>
    </row>
    <row r="433" spans="1:12" ht="13" x14ac:dyDescent="0.15">
      <c r="A433" s="7"/>
      <c r="B433" s="31"/>
      <c r="C433" s="31"/>
      <c r="D433" s="31"/>
      <c r="E433" s="32"/>
      <c r="F433" s="32"/>
      <c r="K433" s="3"/>
      <c r="L433" s="3"/>
    </row>
    <row r="434" spans="1:12" ht="13" x14ac:dyDescent="0.15">
      <c r="A434" s="7"/>
      <c r="B434" s="31"/>
      <c r="C434" s="31"/>
      <c r="D434" s="31"/>
      <c r="E434" s="32"/>
      <c r="F434" s="32"/>
      <c r="K434" s="3"/>
      <c r="L434" s="3"/>
    </row>
    <row r="435" spans="1:12" ht="13" x14ac:dyDescent="0.15">
      <c r="A435" s="7"/>
      <c r="B435" s="31"/>
      <c r="C435" s="31"/>
      <c r="D435" s="31"/>
      <c r="E435" s="32"/>
      <c r="F435" s="32"/>
      <c r="K435" s="3"/>
      <c r="L435" s="3"/>
    </row>
    <row r="436" spans="1:12" ht="13" x14ac:dyDescent="0.15">
      <c r="A436" s="7"/>
      <c r="B436" s="31"/>
      <c r="C436" s="31"/>
      <c r="D436" s="31"/>
      <c r="E436" s="32"/>
      <c r="F436" s="32"/>
      <c r="K436" s="3"/>
      <c r="L436" s="3"/>
    </row>
    <row r="437" spans="1:12" ht="13" x14ac:dyDescent="0.15">
      <c r="A437" s="7"/>
      <c r="B437" s="31"/>
      <c r="C437" s="31"/>
      <c r="D437" s="31"/>
      <c r="E437" s="32"/>
      <c r="F437" s="32"/>
      <c r="K437" s="3"/>
      <c r="L437" s="3"/>
    </row>
    <row r="438" spans="1:12" ht="13" x14ac:dyDescent="0.15">
      <c r="A438" s="7"/>
      <c r="B438" s="31"/>
      <c r="C438" s="31"/>
      <c r="D438" s="31"/>
      <c r="E438" s="32"/>
      <c r="F438" s="32"/>
      <c r="K438" s="3"/>
      <c r="L438" s="3"/>
    </row>
    <row r="439" spans="1:12" ht="13" x14ac:dyDescent="0.15">
      <c r="A439" s="7"/>
      <c r="B439" s="31"/>
      <c r="C439" s="31"/>
      <c r="D439" s="31"/>
      <c r="E439" s="32"/>
      <c r="F439" s="32"/>
      <c r="K439" s="3"/>
      <c r="L439" s="3"/>
    </row>
    <row r="440" spans="1:12" ht="13" x14ac:dyDescent="0.15">
      <c r="A440" s="7"/>
      <c r="B440" s="31"/>
      <c r="C440" s="31"/>
      <c r="D440" s="31"/>
      <c r="E440" s="32"/>
      <c r="F440" s="32"/>
      <c r="K440" s="3"/>
      <c r="L440" s="3"/>
    </row>
    <row r="441" spans="1:12" ht="13" x14ac:dyDescent="0.15">
      <c r="A441" s="7"/>
      <c r="B441" s="31"/>
      <c r="C441" s="31"/>
      <c r="D441" s="31"/>
      <c r="E441" s="32"/>
      <c r="F441" s="32"/>
      <c r="K441" s="3"/>
      <c r="L441" s="3"/>
    </row>
    <row r="442" spans="1:12" ht="13" x14ac:dyDescent="0.15">
      <c r="A442" s="7"/>
      <c r="B442" s="31"/>
      <c r="C442" s="31"/>
      <c r="D442" s="31"/>
      <c r="E442" s="32"/>
      <c r="F442" s="32"/>
      <c r="K442" s="3"/>
      <c r="L442" s="3"/>
    </row>
    <row r="443" spans="1:12" ht="13" x14ac:dyDescent="0.15">
      <c r="A443" s="7"/>
      <c r="B443" s="31"/>
      <c r="C443" s="31"/>
      <c r="D443" s="31"/>
      <c r="E443" s="32"/>
      <c r="F443" s="32"/>
      <c r="K443" s="3"/>
      <c r="L443" s="3"/>
    </row>
    <row r="444" spans="1:12" ht="13" x14ac:dyDescent="0.15">
      <c r="A444" s="7"/>
      <c r="B444" s="31"/>
      <c r="C444" s="31"/>
      <c r="D444" s="31"/>
      <c r="E444" s="32"/>
      <c r="F444" s="32"/>
      <c r="K444" s="3"/>
      <c r="L444" s="3"/>
    </row>
    <row r="445" spans="1:12" ht="13" x14ac:dyDescent="0.15">
      <c r="A445" s="7"/>
      <c r="B445" s="31"/>
      <c r="C445" s="31"/>
      <c r="D445" s="31"/>
      <c r="E445" s="32"/>
      <c r="F445" s="32"/>
      <c r="K445" s="3"/>
      <c r="L445" s="3"/>
    </row>
    <row r="446" spans="1:12" ht="13" x14ac:dyDescent="0.15">
      <c r="A446" s="7"/>
      <c r="B446" s="31"/>
      <c r="C446" s="31"/>
      <c r="D446" s="31"/>
      <c r="E446" s="32"/>
      <c r="F446" s="32"/>
      <c r="K446" s="3"/>
      <c r="L446" s="3"/>
    </row>
    <row r="447" spans="1:12" ht="13" x14ac:dyDescent="0.15">
      <c r="A447" s="7"/>
      <c r="B447" s="31"/>
      <c r="C447" s="31"/>
      <c r="D447" s="31"/>
      <c r="E447" s="32"/>
      <c r="F447" s="32"/>
      <c r="K447" s="3"/>
      <c r="L447" s="3"/>
    </row>
    <row r="448" spans="1:12" ht="13" x14ac:dyDescent="0.15">
      <c r="A448" s="7"/>
      <c r="B448" s="31"/>
      <c r="C448" s="31"/>
      <c r="D448" s="31"/>
      <c r="E448" s="32"/>
      <c r="F448" s="32"/>
      <c r="K448" s="3"/>
      <c r="L448" s="3"/>
    </row>
    <row r="449" spans="1:12" ht="13" x14ac:dyDescent="0.15">
      <c r="A449" s="7"/>
      <c r="B449" s="31"/>
      <c r="C449" s="31"/>
      <c r="D449" s="31"/>
      <c r="E449" s="32"/>
      <c r="F449" s="32"/>
      <c r="K449" s="3"/>
      <c r="L449" s="3"/>
    </row>
    <row r="450" spans="1:12" ht="13" x14ac:dyDescent="0.15">
      <c r="A450" s="7"/>
      <c r="B450" s="31"/>
      <c r="C450" s="31"/>
      <c r="D450" s="31"/>
      <c r="E450" s="32"/>
      <c r="F450" s="32"/>
      <c r="K450" s="3"/>
      <c r="L450" s="3"/>
    </row>
    <row r="451" spans="1:12" ht="13" x14ac:dyDescent="0.15">
      <c r="A451" s="7"/>
      <c r="B451" s="31"/>
      <c r="C451" s="31"/>
      <c r="D451" s="31"/>
      <c r="E451" s="32"/>
      <c r="F451" s="32"/>
      <c r="K451" s="3"/>
      <c r="L451" s="3"/>
    </row>
    <row r="452" spans="1:12" ht="13" x14ac:dyDescent="0.15">
      <c r="A452" s="7"/>
      <c r="B452" s="31"/>
      <c r="C452" s="31"/>
      <c r="D452" s="31"/>
      <c r="E452" s="32"/>
      <c r="F452" s="32"/>
      <c r="K452" s="3"/>
      <c r="L452" s="3"/>
    </row>
    <row r="453" spans="1:12" ht="13" x14ac:dyDescent="0.15">
      <c r="A453" s="7"/>
      <c r="B453" s="31"/>
      <c r="C453" s="31"/>
      <c r="D453" s="31"/>
      <c r="E453" s="32"/>
      <c r="F453" s="32"/>
      <c r="K453" s="3"/>
      <c r="L453" s="3"/>
    </row>
    <row r="454" spans="1:12" ht="13" x14ac:dyDescent="0.15">
      <c r="A454" s="7"/>
      <c r="B454" s="31"/>
      <c r="C454" s="31"/>
      <c r="D454" s="31"/>
      <c r="E454" s="32"/>
      <c r="F454" s="32"/>
      <c r="K454" s="3"/>
      <c r="L454" s="3"/>
    </row>
    <row r="455" spans="1:12" ht="13" x14ac:dyDescent="0.15">
      <c r="A455" s="7"/>
      <c r="B455" s="31"/>
      <c r="C455" s="31"/>
      <c r="D455" s="31"/>
      <c r="E455" s="32"/>
      <c r="F455" s="32"/>
      <c r="K455" s="3"/>
      <c r="L455" s="3"/>
    </row>
    <row r="456" spans="1:12" ht="13" x14ac:dyDescent="0.15">
      <c r="A456" s="7"/>
      <c r="B456" s="31"/>
      <c r="C456" s="31"/>
      <c r="D456" s="31"/>
      <c r="E456" s="32"/>
      <c r="F456" s="32"/>
      <c r="K456" s="3"/>
      <c r="L456" s="3"/>
    </row>
    <row r="457" spans="1:12" ht="13" x14ac:dyDescent="0.15">
      <c r="A457" s="7"/>
      <c r="B457" s="31"/>
      <c r="C457" s="31"/>
      <c r="D457" s="31"/>
      <c r="E457" s="32"/>
      <c r="F457" s="32"/>
      <c r="K457" s="3"/>
      <c r="L457" s="3"/>
    </row>
    <row r="458" spans="1:12" ht="13" x14ac:dyDescent="0.15">
      <c r="A458" s="7"/>
      <c r="B458" s="31"/>
      <c r="C458" s="31"/>
      <c r="D458" s="31"/>
      <c r="E458" s="32"/>
      <c r="F458" s="32"/>
      <c r="K458" s="3"/>
      <c r="L458" s="3"/>
    </row>
    <row r="459" spans="1:12" ht="13" x14ac:dyDescent="0.15">
      <c r="A459" s="7"/>
      <c r="B459" s="31"/>
      <c r="C459" s="31"/>
      <c r="D459" s="31"/>
      <c r="E459" s="32"/>
      <c r="F459" s="32"/>
      <c r="K459" s="3"/>
      <c r="L459" s="3"/>
    </row>
    <row r="460" spans="1:12" ht="13" x14ac:dyDescent="0.15">
      <c r="A460" s="7"/>
      <c r="B460" s="31"/>
      <c r="C460" s="31"/>
      <c r="D460" s="31"/>
      <c r="E460" s="32"/>
      <c r="F460" s="32"/>
      <c r="K460" s="3"/>
      <c r="L460" s="3"/>
    </row>
    <row r="461" spans="1:12" ht="13" x14ac:dyDescent="0.15">
      <c r="A461" s="7"/>
      <c r="B461" s="31"/>
      <c r="C461" s="31"/>
      <c r="D461" s="31"/>
      <c r="E461" s="32"/>
      <c r="F461" s="32"/>
      <c r="K461" s="3"/>
      <c r="L461" s="3"/>
    </row>
    <row r="462" spans="1:12" ht="13" x14ac:dyDescent="0.15">
      <c r="A462" s="7"/>
      <c r="B462" s="31"/>
      <c r="C462" s="31"/>
      <c r="D462" s="31"/>
      <c r="E462" s="32"/>
      <c r="F462" s="32"/>
      <c r="K462" s="3"/>
      <c r="L462" s="3"/>
    </row>
    <row r="463" spans="1:12" ht="13" x14ac:dyDescent="0.15">
      <c r="A463" s="7"/>
      <c r="B463" s="31"/>
      <c r="C463" s="31"/>
      <c r="D463" s="31"/>
      <c r="E463" s="32"/>
      <c r="F463" s="32"/>
      <c r="K463" s="3"/>
      <c r="L463" s="3"/>
    </row>
    <row r="464" spans="1:12" ht="13" x14ac:dyDescent="0.15">
      <c r="A464" s="7"/>
      <c r="B464" s="31"/>
      <c r="C464" s="31"/>
      <c r="D464" s="31"/>
      <c r="E464" s="32"/>
      <c r="F464" s="32"/>
      <c r="K464" s="3"/>
      <c r="L464" s="3"/>
    </row>
    <row r="465" spans="1:12" ht="13" x14ac:dyDescent="0.15">
      <c r="A465" s="7"/>
      <c r="B465" s="31"/>
      <c r="C465" s="31"/>
      <c r="D465" s="31"/>
      <c r="E465" s="32"/>
      <c r="F465" s="32"/>
      <c r="K465" s="3"/>
      <c r="L465" s="3"/>
    </row>
    <row r="466" spans="1:12" ht="13" x14ac:dyDescent="0.15">
      <c r="A466" s="7"/>
      <c r="B466" s="31"/>
      <c r="C466" s="31"/>
      <c r="D466" s="31"/>
      <c r="E466" s="32"/>
      <c r="F466" s="32"/>
      <c r="K466" s="3"/>
      <c r="L466" s="3"/>
    </row>
    <row r="467" spans="1:12" ht="13" x14ac:dyDescent="0.15">
      <c r="A467" s="7"/>
      <c r="B467" s="31"/>
      <c r="C467" s="31"/>
      <c r="D467" s="31"/>
      <c r="E467" s="32"/>
      <c r="F467" s="32"/>
      <c r="K467" s="3"/>
      <c r="L467" s="3"/>
    </row>
    <row r="468" spans="1:12" ht="13" x14ac:dyDescent="0.15">
      <c r="A468" s="7"/>
      <c r="B468" s="31"/>
      <c r="C468" s="31"/>
      <c r="D468" s="31"/>
      <c r="E468" s="32"/>
      <c r="F468" s="32"/>
      <c r="K468" s="3"/>
      <c r="L468" s="3"/>
    </row>
    <row r="469" spans="1:12" ht="13" x14ac:dyDescent="0.15">
      <c r="A469" s="7"/>
      <c r="B469" s="31"/>
      <c r="C469" s="31"/>
      <c r="D469" s="31"/>
      <c r="E469" s="32"/>
      <c r="F469" s="32"/>
      <c r="K469" s="3"/>
      <c r="L469" s="3"/>
    </row>
    <row r="470" spans="1:12" ht="13" x14ac:dyDescent="0.15">
      <c r="A470" s="7"/>
      <c r="B470" s="31"/>
      <c r="C470" s="31"/>
      <c r="D470" s="31"/>
      <c r="E470" s="32"/>
      <c r="F470" s="32"/>
      <c r="K470" s="3"/>
      <c r="L470" s="3"/>
    </row>
    <row r="471" spans="1:12" ht="13" x14ac:dyDescent="0.15">
      <c r="A471" s="7"/>
      <c r="B471" s="31"/>
      <c r="C471" s="31"/>
      <c r="D471" s="31"/>
      <c r="E471" s="32"/>
      <c r="F471" s="32"/>
      <c r="K471" s="3"/>
      <c r="L471" s="3"/>
    </row>
    <row r="472" spans="1:12" ht="13" x14ac:dyDescent="0.15">
      <c r="A472" s="7"/>
      <c r="B472" s="31"/>
      <c r="C472" s="31"/>
      <c r="D472" s="31"/>
      <c r="E472" s="32"/>
      <c r="F472" s="32"/>
      <c r="K472" s="3"/>
      <c r="L472" s="3"/>
    </row>
    <row r="473" spans="1:12" ht="13" x14ac:dyDescent="0.15">
      <c r="A473" s="7"/>
      <c r="B473" s="31"/>
      <c r="C473" s="31"/>
      <c r="D473" s="31"/>
      <c r="E473" s="32"/>
      <c r="F473" s="32"/>
      <c r="K473" s="3"/>
      <c r="L473" s="3"/>
    </row>
    <row r="474" spans="1:12" ht="13" x14ac:dyDescent="0.15">
      <c r="A474" s="7"/>
      <c r="B474" s="31"/>
      <c r="C474" s="31"/>
      <c r="D474" s="31"/>
      <c r="E474" s="32"/>
      <c r="F474" s="32"/>
      <c r="K474" s="3"/>
      <c r="L474" s="3"/>
    </row>
    <row r="475" spans="1:12" ht="13" x14ac:dyDescent="0.15">
      <c r="A475" s="7"/>
      <c r="B475" s="31"/>
      <c r="C475" s="31"/>
      <c r="D475" s="31"/>
      <c r="E475" s="32"/>
      <c r="F475" s="32"/>
      <c r="K475" s="3"/>
      <c r="L475" s="3"/>
    </row>
    <row r="476" spans="1:12" ht="13" x14ac:dyDescent="0.15">
      <c r="A476" s="7"/>
      <c r="B476" s="31"/>
      <c r="C476" s="31"/>
      <c r="D476" s="31"/>
      <c r="E476" s="32"/>
      <c r="F476" s="32"/>
      <c r="K476" s="3"/>
      <c r="L476" s="3"/>
    </row>
    <row r="477" spans="1:12" ht="13" x14ac:dyDescent="0.15">
      <c r="A477" s="7"/>
      <c r="B477" s="31"/>
      <c r="C477" s="31"/>
      <c r="D477" s="31"/>
      <c r="E477" s="32"/>
      <c r="F477" s="32"/>
      <c r="K477" s="3"/>
      <c r="L477" s="3"/>
    </row>
    <row r="478" spans="1:12" ht="13" x14ac:dyDescent="0.15">
      <c r="A478" s="7"/>
      <c r="B478" s="31"/>
      <c r="C478" s="31"/>
      <c r="D478" s="31"/>
      <c r="E478" s="32"/>
      <c r="F478" s="32"/>
      <c r="K478" s="3"/>
      <c r="L478" s="3"/>
    </row>
    <row r="479" spans="1:12" ht="13" x14ac:dyDescent="0.15">
      <c r="A479" s="7"/>
      <c r="B479" s="31"/>
      <c r="C479" s="31"/>
      <c r="D479" s="31"/>
      <c r="E479" s="32"/>
      <c r="F479" s="32"/>
      <c r="K479" s="3"/>
      <c r="L479" s="3"/>
    </row>
    <row r="480" spans="1:12" ht="13" x14ac:dyDescent="0.15">
      <c r="A480" s="7"/>
      <c r="B480" s="31"/>
      <c r="C480" s="31"/>
      <c r="D480" s="31"/>
      <c r="E480" s="32"/>
      <c r="F480" s="32"/>
      <c r="K480" s="3"/>
      <c r="L480" s="3"/>
    </row>
    <row r="481" spans="1:12" ht="13" x14ac:dyDescent="0.15">
      <c r="A481" s="7"/>
      <c r="B481" s="31"/>
      <c r="C481" s="31"/>
      <c r="D481" s="31"/>
      <c r="E481" s="32"/>
      <c r="F481" s="32"/>
      <c r="K481" s="3"/>
      <c r="L481" s="3"/>
    </row>
    <row r="482" spans="1:12" ht="13" x14ac:dyDescent="0.15">
      <c r="A482" s="7"/>
      <c r="B482" s="31"/>
      <c r="C482" s="31"/>
      <c r="D482" s="31"/>
      <c r="E482" s="32"/>
      <c r="F482" s="32"/>
      <c r="K482" s="3"/>
      <c r="L482" s="3"/>
    </row>
    <row r="483" spans="1:12" ht="13" x14ac:dyDescent="0.15">
      <c r="A483" s="7"/>
      <c r="B483" s="31"/>
      <c r="C483" s="31"/>
      <c r="D483" s="31"/>
      <c r="E483" s="32"/>
      <c r="F483" s="32"/>
      <c r="K483" s="3"/>
      <c r="L483" s="3"/>
    </row>
    <row r="484" spans="1:12" ht="13" x14ac:dyDescent="0.15">
      <c r="A484" s="7"/>
      <c r="B484" s="31"/>
      <c r="C484" s="31"/>
      <c r="D484" s="31"/>
      <c r="E484" s="32"/>
      <c r="F484" s="32"/>
      <c r="K484" s="3"/>
      <c r="L484" s="3"/>
    </row>
    <row r="485" spans="1:12" ht="13" x14ac:dyDescent="0.15">
      <c r="A485" s="7"/>
      <c r="B485" s="31"/>
      <c r="C485" s="31"/>
      <c r="D485" s="31"/>
      <c r="E485" s="32"/>
      <c r="F485" s="32"/>
      <c r="K485" s="3"/>
      <c r="L485" s="3"/>
    </row>
    <row r="486" spans="1:12" ht="13" x14ac:dyDescent="0.15">
      <c r="A486" s="7"/>
      <c r="B486" s="31"/>
      <c r="C486" s="31"/>
      <c r="D486" s="31"/>
      <c r="E486" s="32"/>
      <c r="F486" s="32"/>
      <c r="K486" s="3"/>
      <c r="L486" s="3"/>
    </row>
    <row r="487" spans="1:12" ht="13" x14ac:dyDescent="0.15">
      <c r="A487" s="7"/>
      <c r="B487" s="31"/>
      <c r="C487" s="31"/>
      <c r="D487" s="31"/>
      <c r="E487" s="32"/>
      <c r="F487" s="32"/>
      <c r="K487" s="3"/>
      <c r="L487" s="3"/>
    </row>
    <row r="488" spans="1:12" ht="13" x14ac:dyDescent="0.15">
      <c r="A488" s="7"/>
      <c r="B488" s="31"/>
      <c r="C488" s="31"/>
      <c r="D488" s="31"/>
      <c r="E488" s="32"/>
      <c r="F488" s="32"/>
      <c r="K488" s="3"/>
      <c r="L488" s="3"/>
    </row>
    <row r="489" spans="1:12" ht="13" x14ac:dyDescent="0.15">
      <c r="A489" s="7"/>
      <c r="B489" s="31"/>
      <c r="C489" s="31"/>
      <c r="D489" s="31"/>
      <c r="E489" s="32"/>
      <c r="F489" s="32"/>
      <c r="K489" s="3"/>
      <c r="L489" s="3"/>
    </row>
    <row r="490" spans="1:12" ht="13" x14ac:dyDescent="0.15">
      <c r="A490" s="7"/>
      <c r="B490" s="31"/>
      <c r="C490" s="31"/>
      <c r="D490" s="31"/>
      <c r="E490" s="32"/>
      <c r="F490" s="32"/>
      <c r="K490" s="3"/>
      <c r="L490" s="3"/>
    </row>
    <row r="491" spans="1:12" ht="13" x14ac:dyDescent="0.15">
      <c r="A491" s="7"/>
      <c r="B491" s="31"/>
      <c r="C491" s="31"/>
      <c r="D491" s="31"/>
      <c r="E491" s="32"/>
      <c r="F491" s="32"/>
      <c r="K491" s="3"/>
      <c r="L491" s="3"/>
    </row>
    <row r="492" spans="1:12" ht="13" x14ac:dyDescent="0.15">
      <c r="A492" s="7"/>
      <c r="B492" s="31"/>
      <c r="C492" s="31"/>
      <c r="D492" s="31"/>
      <c r="E492" s="32"/>
      <c r="F492" s="32"/>
      <c r="K492" s="3"/>
      <c r="L492" s="3"/>
    </row>
    <row r="493" spans="1:12" ht="13" x14ac:dyDescent="0.15">
      <c r="A493" s="7"/>
      <c r="B493" s="31"/>
      <c r="C493" s="31"/>
      <c r="D493" s="31"/>
      <c r="E493" s="32"/>
      <c r="F493" s="32"/>
      <c r="K493" s="3"/>
      <c r="L493" s="3"/>
    </row>
    <row r="494" spans="1:12" ht="13" x14ac:dyDescent="0.15">
      <c r="A494" s="7"/>
      <c r="B494" s="31"/>
      <c r="C494" s="31"/>
      <c r="D494" s="31"/>
      <c r="E494" s="32"/>
      <c r="F494" s="32"/>
      <c r="K494" s="3"/>
      <c r="L494" s="3"/>
    </row>
    <row r="495" spans="1:12" ht="13" x14ac:dyDescent="0.15">
      <c r="A495" s="7"/>
      <c r="B495" s="31"/>
      <c r="C495" s="31"/>
      <c r="D495" s="31"/>
      <c r="E495" s="32"/>
      <c r="F495" s="32"/>
      <c r="K495" s="3"/>
      <c r="L495" s="3"/>
    </row>
    <row r="496" spans="1:12" ht="13" x14ac:dyDescent="0.15">
      <c r="A496" s="7"/>
      <c r="B496" s="31"/>
      <c r="C496" s="31"/>
      <c r="D496" s="31"/>
      <c r="E496" s="32"/>
      <c r="F496" s="32"/>
      <c r="K496" s="3"/>
      <c r="L496" s="3"/>
    </row>
    <row r="497" spans="1:12" ht="13" x14ac:dyDescent="0.15">
      <c r="A497" s="7"/>
      <c r="B497" s="31"/>
      <c r="C497" s="31"/>
      <c r="D497" s="31"/>
      <c r="E497" s="32"/>
      <c r="F497" s="32"/>
      <c r="K497" s="3"/>
      <c r="L497" s="3"/>
    </row>
    <row r="498" spans="1:12" ht="13" x14ac:dyDescent="0.15">
      <c r="A498" s="7"/>
      <c r="B498" s="31"/>
      <c r="C498" s="31"/>
      <c r="D498" s="31"/>
      <c r="E498" s="32"/>
      <c r="F498" s="32"/>
      <c r="K498" s="3"/>
      <c r="L498" s="3"/>
    </row>
    <row r="499" spans="1:12" ht="13" x14ac:dyDescent="0.15">
      <c r="A499" s="7"/>
      <c r="B499" s="31"/>
      <c r="C499" s="31"/>
      <c r="D499" s="31"/>
      <c r="E499" s="32"/>
      <c r="F499" s="32"/>
      <c r="K499" s="3"/>
      <c r="L499" s="3"/>
    </row>
    <row r="500" spans="1:12" ht="13" x14ac:dyDescent="0.15">
      <c r="A500" s="7"/>
      <c r="B500" s="31"/>
      <c r="C500" s="31"/>
      <c r="D500" s="31"/>
      <c r="E500" s="32"/>
      <c r="F500" s="32"/>
      <c r="K500" s="3"/>
      <c r="L500" s="3"/>
    </row>
    <row r="501" spans="1:12" ht="13" x14ac:dyDescent="0.15">
      <c r="A501" s="7"/>
      <c r="B501" s="31"/>
      <c r="C501" s="31"/>
      <c r="D501" s="31"/>
      <c r="E501" s="32"/>
      <c r="F501" s="32"/>
      <c r="K501" s="3"/>
      <c r="L501" s="3"/>
    </row>
    <row r="502" spans="1:12" ht="13" x14ac:dyDescent="0.15">
      <c r="A502" s="7"/>
      <c r="B502" s="31"/>
      <c r="C502" s="31"/>
      <c r="D502" s="31"/>
      <c r="E502" s="32"/>
      <c r="F502" s="32"/>
      <c r="K502" s="3"/>
      <c r="L502" s="3"/>
    </row>
    <row r="503" spans="1:12" ht="13" x14ac:dyDescent="0.15">
      <c r="A503" s="7"/>
      <c r="B503" s="31"/>
      <c r="C503" s="31"/>
      <c r="D503" s="31"/>
      <c r="E503" s="32"/>
      <c r="F503" s="32"/>
      <c r="K503" s="3"/>
      <c r="L503" s="3"/>
    </row>
    <row r="504" spans="1:12" ht="13" x14ac:dyDescent="0.15">
      <c r="A504" s="7"/>
      <c r="B504" s="31"/>
      <c r="C504" s="31"/>
      <c r="D504" s="31"/>
      <c r="E504" s="32"/>
      <c r="F504" s="32"/>
      <c r="K504" s="3"/>
      <c r="L504" s="3"/>
    </row>
    <row r="505" spans="1:12" ht="13" x14ac:dyDescent="0.15">
      <c r="A505" s="7"/>
      <c r="B505" s="31"/>
      <c r="C505" s="31"/>
      <c r="D505" s="31"/>
      <c r="E505" s="32"/>
      <c r="F505" s="32"/>
      <c r="K505" s="3"/>
      <c r="L505" s="3"/>
    </row>
    <row r="506" spans="1:12" ht="13" x14ac:dyDescent="0.15">
      <c r="A506" s="7"/>
      <c r="B506" s="31"/>
      <c r="C506" s="31"/>
      <c r="D506" s="31"/>
      <c r="E506" s="32"/>
      <c r="F506" s="32"/>
      <c r="K506" s="3"/>
      <c r="L506" s="3"/>
    </row>
    <row r="507" spans="1:12" ht="13" x14ac:dyDescent="0.15">
      <c r="A507" s="7"/>
      <c r="B507" s="31"/>
      <c r="C507" s="31"/>
      <c r="D507" s="31"/>
      <c r="E507" s="32"/>
      <c r="F507" s="32"/>
      <c r="K507" s="3"/>
      <c r="L507" s="3"/>
    </row>
    <row r="508" spans="1:12" ht="13" x14ac:dyDescent="0.15">
      <c r="A508" s="7"/>
      <c r="B508" s="31"/>
      <c r="C508" s="31"/>
      <c r="D508" s="31"/>
      <c r="E508" s="32"/>
      <c r="F508" s="32"/>
      <c r="K508" s="3"/>
      <c r="L508" s="3"/>
    </row>
    <row r="509" spans="1:12" ht="13" x14ac:dyDescent="0.15">
      <c r="A509" s="7"/>
      <c r="B509" s="31"/>
      <c r="C509" s="31"/>
      <c r="D509" s="31"/>
      <c r="E509" s="32"/>
      <c r="F509" s="32"/>
      <c r="K509" s="3"/>
      <c r="L509" s="3"/>
    </row>
    <row r="510" spans="1:12" ht="13" x14ac:dyDescent="0.15">
      <c r="A510" s="7"/>
      <c r="B510" s="31"/>
      <c r="C510" s="31"/>
      <c r="D510" s="31"/>
      <c r="E510" s="32"/>
      <c r="F510" s="32"/>
      <c r="K510" s="3"/>
      <c r="L510" s="3"/>
    </row>
    <row r="511" spans="1:12" ht="13" x14ac:dyDescent="0.15">
      <c r="A511" s="7"/>
      <c r="B511" s="31"/>
      <c r="C511" s="31"/>
      <c r="D511" s="31"/>
      <c r="E511" s="32"/>
      <c r="F511" s="32"/>
      <c r="K511" s="3"/>
      <c r="L511" s="3"/>
    </row>
    <row r="512" spans="1:12" ht="13" x14ac:dyDescent="0.15">
      <c r="A512" s="7"/>
      <c r="B512" s="31"/>
      <c r="C512" s="31"/>
      <c r="D512" s="31"/>
      <c r="E512" s="32"/>
      <c r="F512" s="32"/>
      <c r="K512" s="3"/>
      <c r="L512" s="3"/>
    </row>
    <row r="513" spans="1:12" ht="13" x14ac:dyDescent="0.15">
      <c r="A513" s="7"/>
      <c r="B513" s="31"/>
      <c r="C513" s="31"/>
      <c r="D513" s="31"/>
      <c r="E513" s="32"/>
      <c r="F513" s="32"/>
      <c r="K513" s="3"/>
      <c r="L513" s="3"/>
    </row>
    <row r="514" spans="1:12" ht="13" x14ac:dyDescent="0.15">
      <c r="A514" s="7"/>
      <c r="B514" s="31"/>
      <c r="C514" s="31"/>
      <c r="D514" s="31"/>
      <c r="E514" s="32"/>
      <c r="F514" s="32"/>
      <c r="K514" s="3"/>
      <c r="L514" s="3"/>
    </row>
    <row r="515" spans="1:12" ht="13" x14ac:dyDescent="0.15">
      <c r="A515" s="7"/>
      <c r="B515" s="31"/>
      <c r="C515" s="31"/>
      <c r="D515" s="31"/>
      <c r="E515" s="32"/>
      <c r="F515" s="32"/>
      <c r="K515" s="3"/>
      <c r="L515" s="3"/>
    </row>
    <row r="516" spans="1:12" ht="13" x14ac:dyDescent="0.15">
      <c r="A516" s="7"/>
      <c r="B516" s="31"/>
      <c r="C516" s="31"/>
      <c r="D516" s="31"/>
      <c r="E516" s="32"/>
      <c r="F516" s="32"/>
      <c r="K516" s="3"/>
      <c r="L516" s="3"/>
    </row>
    <row r="517" spans="1:12" ht="13" x14ac:dyDescent="0.15">
      <c r="A517" s="7"/>
      <c r="B517" s="31"/>
      <c r="C517" s="31"/>
      <c r="D517" s="31"/>
      <c r="E517" s="32"/>
      <c r="F517" s="32"/>
      <c r="K517" s="3"/>
      <c r="L517" s="3"/>
    </row>
    <row r="518" spans="1:12" ht="13" x14ac:dyDescent="0.15">
      <c r="A518" s="7"/>
      <c r="B518" s="31"/>
      <c r="C518" s="31"/>
      <c r="D518" s="31"/>
      <c r="E518" s="32"/>
      <c r="F518" s="32"/>
      <c r="K518" s="3"/>
      <c r="L518" s="3"/>
    </row>
    <row r="519" spans="1:12" ht="13" x14ac:dyDescent="0.15">
      <c r="A519" s="7"/>
      <c r="B519" s="31"/>
      <c r="C519" s="31"/>
      <c r="D519" s="31"/>
      <c r="E519" s="32"/>
      <c r="F519" s="32"/>
      <c r="K519" s="3"/>
      <c r="L519" s="3"/>
    </row>
    <row r="520" spans="1:12" ht="13" x14ac:dyDescent="0.15">
      <c r="A520" s="7"/>
      <c r="B520" s="31"/>
      <c r="C520" s="31"/>
      <c r="D520" s="31"/>
      <c r="E520" s="32"/>
      <c r="F520" s="32"/>
      <c r="K520" s="3"/>
      <c r="L520" s="3"/>
    </row>
    <row r="521" spans="1:12" ht="13" x14ac:dyDescent="0.15">
      <c r="A521" s="7"/>
      <c r="B521" s="31"/>
      <c r="C521" s="31"/>
      <c r="D521" s="31"/>
      <c r="E521" s="32"/>
      <c r="F521" s="32"/>
      <c r="K521" s="3"/>
      <c r="L521" s="3"/>
    </row>
    <row r="522" spans="1:12" ht="13" x14ac:dyDescent="0.15">
      <c r="A522" s="7"/>
      <c r="B522" s="31"/>
      <c r="C522" s="31"/>
      <c r="D522" s="31"/>
      <c r="E522" s="32"/>
      <c r="F522" s="32"/>
      <c r="K522" s="3"/>
      <c r="L522" s="3"/>
    </row>
    <row r="523" spans="1:12" ht="13" x14ac:dyDescent="0.15">
      <c r="A523" s="7"/>
      <c r="B523" s="31"/>
      <c r="C523" s="31"/>
      <c r="D523" s="31"/>
      <c r="E523" s="32"/>
      <c r="F523" s="32"/>
      <c r="K523" s="3"/>
      <c r="L523" s="3"/>
    </row>
    <row r="524" spans="1:12" ht="13" x14ac:dyDescent="0.15">
      <c r="A524" s="7"/>
      <c r="B524" s="31"/>
      <c r="C524" s="31"/>
      <c r="D524" s="31"/>
      <c r="E524" s="32"/>
      <c r="F524" s="32"/>
      <c r="K524" s="3"/>
      <c r="L524" s="3"/>
    </row>
    <row r="525" spans="1:12" ht="13" x14ac:dyDescent="0.15">
      <c r="A525" s="7"/>
      <c r="B525" s="31"/>
      <c r="C525" s="31"/>
      <c r="D525" s="31"/>
      <c r="E525" s="32"/>
      <c r="F525" s="32"/>
      <c r="K525" s="3"/>
      <c r="L525" s="3"/>
    </row>
    <row r="526" spans="1:12" ht="13" x14ac:dyDescent="0.15">
      <c r="A526" s="7"/>
      <c r="B526" s="31"/>
      <c r="C526" s="31"/>
      <c r="D526" s="31"/>
      <c r="E526" s="32"/>
      <c r="F526" s="32"/>
      <c r="K526" s="3"/>
      <c r="L526" s="3"/>
    </row>
    <row r="527" spans="1:12" ht="13" x14ac:dyDescent="0.15">
      <c r="A527" s="7"/>
      <c r="B527" s="31"/>
      <c r="C527" s="31"/>
      <c r="D527" s="31"/>
      <c r="E527" s="32"/>
      <c r="F527" s="32"/>
      <c r="K527" s="3"/>
      <c r="L527" s="3"/>
    </row>
    <row r="528" spans="1:12" ht="13" x14ac:dyDescent="0.15">
      <c r="A528" s="7"/>
      <c r="B528" s="31"/>
      <c r="C528" s="31"/>
      <c r="D528" s="31"/>
      <c r="E528" s="32"/>
      <c r="F528" s="32"/>
      <c r="K528" s="3"/>
      <c r="L528" s="3"/>
    </row>
    <row r="529" spans="1:12" ht="13" x14ac:dyDescent="0.15">
      <c r="A529" s="7"/>
      <c r="B529" s="31"/>
      <c r="C529" s="31"/>
      <c r="D529" s="31"/>
      <c r="E529" s="32"/>
      <c r="F529" s="32"/>
      <c r="K529" s="3"/>
      <c r="L529" s="3"/>
    </row>
    <row r="530" spans="1:12" ht="13" x14ac:dyDescent="0.15">
      <c r="A530" s="7"/>
      <c r="B530" s="31"/>
      <c r="C530" s="31"/>
      <c r="D530" s="31"/>
      <c r="E530" s="32"/>
      <c r="F530" s="32"/>
      <c r="K530" s="3"/>
      <c r="L530" s="3"/>
    </row>
    <row r="531" spans="1:12" ht="13" x14ac:dyDescent="0.15">
      <c r="A531" s="7"/>
      <c r="B531" s="31"/>
      <c r="C531" s="31"/>
      <c r="D531" s="31"/>
      <c r="E531" s="32"/>
      <c r="F531" s="32"/>
      <c r="K531" s="3"/>
      <c r="L531" s="3"/>
    </row>
    <row r="532" spans="1:12" ht="13" x14ac:dyDescent="0.15">
      <c r="A532" s="7"/>
      <c r="B532" s="31"/>
      <c r="C532" s="31"/>
      <c r="D532" s="31"/>
      <c r="E532" s="32"/>
      <c r="F532" s="32"/>
      <c r="K532" s="3"/>
      <c r="L532" s="3"/>
    </row>
    <row r="533" spans="1:12" ht="13" x14ac:dyDescent="0.15">
      <c r="A533" s="7"/>
      <c r="B533" s="31"/>
      <c r="C533" s="31"/>
      <c r="D533" s="31"/>
      <c r="E533" s="32"/>
      <c r="F533" s="32"/>
      <c r="K533" s="3"/>
      <c r="L533" s="3"/>
    </row>
    <row r="534" spans="1:12" ht="13" x14ac:dyDescent="0.15">
      <c r="A534" s="7"/>
      <c r="B534" s="31"/>
      <c r="C534" s="31"/>
      <c r="D534" s="31"/>
      <c r="E534" s="32"/>
      <c r="F534" s="32"/>
      <c r="K534" s="3"/>
      <c r="L534" s="3"/>
    </row>
    <row r="535" spans="1:12" ht="13" x14ac:dyDescent="0.15">
      <c r="A535" s="7"/>
      <c r="B535" s="31"/>
      <c r="C535" s="31"/>
      <c r="D535" s="31"/>
      <c r="E535" s="32"/>
      <c r="F535" s="32"/>
      <c r="K535" s="3"/>
      <c r="L535" s="3"/>
    </row>
    <row r="536" spans="1:12" ht="13" x14ac:dyDescent="0.15">
      <c r="A536" s="7"/>
      <c r="B536" s="31"/>
      <c r="C536" s="31"/>
      <c r="D536" s="31"/>
      <c r="E536" s="32"/>
      <c r="F536" s="32"/>
      <c r="K536" s="3"/>
      <c r="L536" s="3"/>
    </row>
    <row r="537" spans="1:12" ht="13" x14ac:dyDescent="0.15">
      <c r="A537" s="7"/>
      <c r="B537" s="31"/>
      <c r="C537" s="31"/>
      <c r="D537" s="31"/>
      <c r="E537" s="32"/>
      <c r="F537" s="32"/>
      <c r="K537" s="3"/>
      <c r="L537" s="3"/>
    </row>
    <row r="538" spans="1:12" ht="13" x14ac:dyDescent="0.15">
      <c r="A538" s="7"/>
      <c r="B538" s="31"/>
      <c r="C538" s="31"/>
      <c r="D538" s="31"/>
      <c r="E538" s="32"/>
      <c r="F538" s="32"/>
      <c r="K538" s="3"/>
      <c r="L538" s="3"/>
    </row>
    <row r="539" spans="1:12" ht="13" x14ac:dyDescent="0.15">
      <c r="A539" s="7"/>
      <c r="B539" s="31"/>
      <c r="C539" s="31"/>
      <c r="D539" s="31"/>
      <c r="E539" s="32"/>
      <c r="F539" s="32"/>
      <c r="K539" s="3"/>
      <c r="L539" s="3"/>
    </row>
    <row r="540" spans="1:12" ht="13" x14ac:dyDescent="0.15">
      <c r="A540" s="7"/>
      <c r="B540" s="31"/>
      <c r="C540" s="31"/>
      <c r="D540" s="31"/>
      <c r="E540" s="32"/>
      <c r="F540" s="32"/>
      <c r="K540" s="3"/>
      <c r="L540" s="3"/>
    </row>
    <row r="541" spans="1:12" ht="13" x14ac:dyDescent="0.15">
      <c r="A541" s="7"/>
      <c r="B541" s="31"/>
      <c r="C541" s="31"/>
      <c r="D541" s="31"/>
      <c r="E541" s="32"/>
      <c r="F541" s="32"/>
      <c r="K541" s="3"/>
      <c r="L541" s="3"/>
    </row>
    <row r="542" spans="1:12" ht="13" x14ac:dyDescent="0.15">
      <c r="A542" s="7"/>
      <c r="B542" s="31"/>
      <c r="C542" s="31"/>
      <c r="D542" s="31"/>
      <c r="E542" s="32"/>
      <c r="F542" s="32"/>
      <c r="K542" s="3"/>
      <c r="L542" s="3"/>
    </row>
    <row r="543" spans="1:12" ht="13" x14ac:dyDescent="0.15">
      <c r="A543" s="7"/>
      <c r="B543" s="31"/>
      <c r="C543" s="31"/>
      <c r="D543" s="31"/>
      <c r="E543" s="32"/>
      <c r="F543" s="32"/>
      <c r="K543" s="3"/>
      <c r="L543" s="3"/>
    </row>
    <row r="544" spans="1:12" ht="13" x14ac:dyDescent="0.15">
      <c r="A544" s="7"/>
      <c r="B544" s="31"/>
      <c r="C544" s="31"/>
      <c r="D544" s="31"/>
      <c r="E544" s="32"/>
      <c r="F544" s="32"/>
      <c r="K544" s="3"/>
      <c r="L544" s="3"/>
    </row>
    <row r="545" spans="1:12" ht="13" x14ac:dyDescent="0.15">
      <c r="A545" s="7"/>
      <c r="B545" s="31"/>
      <c r="C545" s="31"/>
      <c r="D545" s="31"/>
      <c r="E545" s="32"/>
      <c r="F545" s="32"/>
      <c r="K545" s="3"/>
      <c r="L545" s="3"/>
    </row>
    <row r="546" spans="1:12" ht="13" x14ac:dyDescent="0.15">
      <c r="A546" s="7"/>
      <c r="B546" s="31"/>
      <c r="C546" s="31"/>
      <c r="D546" s="31"/>
      <c r="E546" s="32"/>
      <c r="F546" s="32"/>
      <c r="K546" s="3"/>
      <c r="L546" s="3"/>
    </row>
    <row r="547" spans="1:12" ht="13" x14ac:dyDescent="0.15">
      <c r="A547" s="7"/>
      <c r="B547" s="31"/>
      <c r="C547" s="31"/>
      <c r="D547" s="31"/>
      <c r="E547" s="32"/>
      <c r="F547" s="32"/>
      <c r="K547" s="3"/>
      <c r="L547" s="3"/>
    </row>
    <row r="548" spans="1:12" ht="13" x14ac:dyDescent="0.15">
      <c r="A548" s="7"/>
      <c r="B548" s="31"/>
      <c r="C548" s="31"/>
      <c r="D548" s="31"/>
      <c r="E548" s="32"/>
      <c r="F548" s="32"/>
      <c r="K548" s="3"/>
      <c r="L548" s="3"/>
    </row>
    <row r="549" spans="1:12" ht="13" x14ac:dyDescent="0.15">
      <c r="A549" s="7"/>
      <c r="B549" s="31"/>
      <c r="C549" s="31"/>
      <c r="D549" s="31"/>
      <c r="E549" s="32"/>
      <c r="F549" s="32"/>
      <c r="K549" s="3"/>
      <c r="L549" s="3"/>
    </row>
    <row r="550" spans="1:12" ht="13" x14ac:dyDescent="0.15">
      <c r="A550" s="7"/>
      <c r="B550" s="31"/>
      <c r="C550" s="31"/>
      <c r="D550" s="31"/>
      <c r="E550" s="32"/>
      <c r="F550" s="32"/>
      <c r="K550" s="3"/>
      <c r="L550" s="3"/>
    </row>
    <row r="551" spans="1:12" ht="13" x14ac:dyDescent="0.15">
      <c r="A551" s="7"/>
      <c r="B551" s="31"/>
      <c r="C551" s="31"/>
      <c r="D551" s="31"/>
      <c r="E551" s="32"/>
      <c r="F551" s="32"/>
      <c r="K551" s="3"/>
      <c r="L551" s="3"/>
    </row>
    <row r="552" spans="1:12" ht="13" x14ac:dyDescent="0.15">
      <c r="A552" s="7"/>
      <c r="B552" s="31"/>
      <c r="C552" s="31"/>
      <c r="D552" s="31"/>
      <c r="E552" s="32"/>
      <c r="F552" s="32"/>
      <c r="K552" s="3"/>
      <c r="L552" s="3"/>
    </row>
    <row r="553" spans="1:12" ht="13" x14ac:dyDescent="0.15">
      <c r="A553" s="7"/>
      <c r="B553" s="31"/>
      <c r="C553" s="31"/>
      <c r="D553" s="31"/>
      <c r="E553" s="32"/>
      <c r="F553" s="32"/>
      <c r="K553" s="3"/>
      <c r="L553" s="3"/>
    </row>
    <row r="554" spans="1:12" ht="13" x14ac:dyDescent="0.15">
      <c r="A554" s="7"/>
      <c r="B554" s="31"/>
      <c r="C554" s="31"/>
      <c r="D554" s="31"/>
      <c r="E554" s="32"/>
      <c r="F554" s="32"/>
      <c r="K554" s="3"/>
      <c r="L554" s="3"/>
    </row>
    <row r="555" spans="1:12" ht="13" x14ac:dyDescent="0.15">
      <c r="A555" s="7"/>
      <c r="B555" s="31"/>
      <c r="C555" s="31"/>
      <c r="D555" s="31"/>
      <c r="E555" s="32"/>
      <c r="F555" s="32"/>
      <c r="K555" s="3"/>
      <c r="L555" s="3"/>
    </row>
    <row r="556" spans="1:12" ht="13" x14ac:dyDescent="0.15">
      <c r="A556" s="7"/>
      <c r="B556" s="31"/>
      <c r="C556" s="31"/>
      <c r="D556" s="31"/>
      <c r="E556" s="32"/>
      <c r="F556" s="32"/>
      <c r="K556" s="3"/>
      <c r="L556" s="3"/>
    </row>
    <row r="557" spans="1:12" ht="13" x14ac:dyDescent="0.15">
      <c r="A557" s="7"/>
      <c r="B557" s="31"/>
      <c r="C557" s="31"/>
      <c r="D557" s="31"/>
      <c r="E557" s="32"/>
      <c r="F557" s="32"/>
      <c r="K557" s="3"/>
      <c r="L557" s="3"/>
    </row>
    <row r="558" spans="1:12" ht="13" x14ac:dyDescent="0.15">
      <c r="A558" s="7"/>
      <c r="B558" s="31"/>
      <c r="C558" s="31"/>
      <c r="D558" s="31"/>
      <c r="E558" s="32"/>
      <c r="F558" s="32"/>
      <c r="K558" s="3"/>
      <c r="L558" s="3"/>
    </row>
    <row r="559" spans="1:12" ht="13" x14ac:dyDescent="0.15">
      <c r="A559" s="7"/>
      <c r="B559" s="31"/>
      <c r="C559" s="31"/>
      <c r="D559" s="31"/>
      <c r="E559" s="32"/>
      <c r="F559" s="32"/>
      <c r="K559" s="3"/>
      <c r="L559" s="3"/>
    </row>
    <row r="560" spans="1:12" ht="13" x14ac:dyDescent="0.15">
      <c r="A560" s="7"/>
      <c r="B560" s="31"/>
      <c r="C560" s="31"/>
      <c r="D560" s="31"/>
      <c r="E560" s="32"/>
      <c r="F560" s="32"/>
      <c r="K560" s="3"/>
      <c r="L560" s="3"/>
    </row>
    <row r="561" spans="1:12" ht="13" x14ac:dyDescent="0.15">
      <c r="A561" s="7"/>
      <c r="B561" s="31"/>
      <c r="C561" s="31"/>
      <c r="D561" s="31"/>
      <c r="E561" s="32"/>
      <c r="F561" s="32"/>
      <c r="K561" s="3"/>
      <c r="L561" s="3"/>
    </row>
    <row r="562" spans="1:12" ht="13" x14ac:dyDescent="0.15">
      <c r="A562" s="7"/>
      <c r="B562" s="31"/>
      <c r="C562" s="31"/>
      <c r="D562" s="31"/>
      <c r="E562" s="32"/>
      <c r="F562" s="32"/>
      <c r="K562" s="3"/>
      <c r="L562" s="3"/>
    </row>
    <row r="563" spans="1:12" ht="13" x14ac:dyDescent="0.15">
      <c r="A563" s="7"/>
      <c r="B563" s="31"/>
      <c r="C563" s="31"/>
      <c r="D563" s="31"/>
      <c r="E563" s="32"/>
      <c r="F563" s="32"/>
      <c r="K563" s="3"/>
      <c r="L563" s="3"/>
    </row>
    <row r="564" spans="1:12" ht="13" x14ac:dyDescent="0.15">
      <c r="A564" s="7"/>
      <c r="B564" s="31"/>
      <c r="C564" s="31"/>
      <c r="D564" s="31"/>
      <c r="E564" s="32"/>
      <c r="F564" s="32"/>
      <c r="K564" s="3"/>
      <c r="L564" s="3"/>
    </row>
    <row r="565" spans="1:12" ht="13" x14ac:dyDescent="0.15">
      <c r="A565" s="7"/>
      <c r="B565" s="31"/>
      <c r="C565" s="31"/>
      <c r="D565" s="31"/>
      <c r="E565" s="32"/>
      <c r="F565" s="32"/>
      <c r="K565" s="3"/>
      <c r="L565" s="3"/>
    </row>
    <row r="566" spans="1:12" ht="13" x14ac:dyDescent="0.15">
      <c r="A566" s="7"/>
      <c r="B566" s="31"/>
      <c r="C566" s="31"/>
      <c r="D566" s="31"/>
      <c r="E566" s="32"/>
      <c r="F566" s="32"/>
      <c r="K566" s="3"/>
      <c r="L566" s="3"/>
    </row>
    <row r="567" spans="1:12" ht="13" x14ac:dyDescent="0.15">
      <c r="A567" s="7"/>
      <c r="B567" s="31"/>
      <c r="C567" s="31"/>
      <c r="D567" s="31"/>
      <c r="E567" s="32"/>
      <c r="F567" s="32"/>
      <c r="K567" s="3"/>
      <c r="L567" s="3"/>
    </row>
    <row r="568" spans="1:12" ht="13" x14ac:dyDescent="0.15">
      <c r="A568" s="7"/>
      <c r="B568" s="31"/>
      <c r="C568" s="31"/>
      <c r="D568" s="31"/>
      <c r="E568" s="32"/>
      <c r="F568" s="32"/>
      <c r="K568" s="3"/>
      <c r="L568" s="3"/>
    </row>
    <row r="569" spans="1:12" ht="13" x14ac:dyDescent="0.15">
      <c r="A569" s="7"/>
      <c r="B569" s="31"/>
      <c r="C569" s="31"/>
      <c r="D569" s="31"/>
      <c r="E569" s="32"/>
      <c r="F569" s="32"/>
      <c r="K569" s="3"/>
      <c r="L569" s="3"/>
    </row>
    <row r="570" spans="1:12" ht="13" x14ac:dyDescent="0.15">
      <c r="A570" s="7"/>
      <c r="B570" s="31"/>
      <c r="C570" s="31"/>
      <c r="D570" s="31"/>
      <c r="E570" s="32"/>
      <c r="F570" s="32"/>
      <c r="K570" s="3"/>
      <c r="L570" s="3"/>
    </row>
    <row r="571" spans="1:12" ht="13" x14ac:dyDescent="0.15">
      <c r="A571" s="7"/>
      <c r="B571" s="31"/>
      <c r="C571" s="31"/>
      <c r="D571" s="31"/>
      <c r="E571" s="32"/>
      <c r="F571" s="32"/>
      <c r="K571" s="3"/>
      <c r="L571" s="3"/>
    </row>
    <row r="572" spans="1:12" ht="13" x14ac:dyDescent="0.15">
      <c r="A572" s="7"/>
      <c r="B572" s="31"/>
      <c r="C572" s="31"/>
      <c r="D572" s="31"/>
      <c r="E572" s="32"/>
      <c r="F572" s="32"/>
      <c r="K572" s="3"/>
      <c r="L572" s="3"/>
    </row>
    <row r="573" spans="1:12" ht="13" x14ac:dyDescent="0.15">
      <c r="A573" s="7"/>
      <c r="B573" s="31"/>
      <c r="C573" s="31"/>
      <c r="D573" s="31"/>
      <c r="E573" s="32"/>
      <c r="F573" s="32"/>
      <c r="K573" s="3"/>
      <c r="L573" s="3"/>
    </row>
    <row r="574" spans="1:12" ht="13" x14ac:dyDescent="0.15">
      <c r="A574" s="7"/>
      <c r="B574" s="31"/>
      <c r="C574" s="31"/>
      <c r="D574" s="31"/>
      <c r="E574" s="32"/>
      <c r="F574" s="32"/>
      <c r="K574" s="3"/>
      <c r="L574" s="3"/>
    </row>
    <row r="575" spans="1:12" ht="13" x14ac:dyDescent="0.15">
      <c r="A575" s="7"/>
      <c r="B575" s="31"/>
      <c r="C575" s="31"/>
      <c r="D575" s="31"/>
      <c r="E575" s="32"/>
      <c r="F575" s="32"/>
      <c r="K575" s="3"/>
      <c r="L575" s="3"/>
    </row>
    <row r="576" spans="1:12" ht="13" x14ac:dyDescent="0.15">
      <c r="A576" s="7"/>
      <c r="B576" s="31"/>
      <c r="C576" s="31"/>
      <c r="D576" s="31"/>
      <c r="E576" s="32"/>
      <c r="F576" s="32"/>
      <c r="K576" s="3"/>
      <c r="L576" s="3"/>
    </row>
    <row r="577" spans="1:12" ht="13" x14ac:dyDescent="0.15">
      <c r="A577" s="7"/>
      <c r="B577" s="31"/>
      <c r="C577" s="31"/>
      <c r="D577" s="31"/>
      <c r="E577" s="32"/>
      <c r="F577" s="32"/>
      <c r="K577" s="3"/>
      <c r="L577" s="3"/>
    </row>
    <row r="578" spans="1:12" ht="13" x14ac:dyDescent="0.15">
      <c r="A578" s="7"/>
      <c r="B578" s="31"/>
      <c r="C578" s="31"/>
      <c r="D578" s="31"/>
      <c r="E578" s="32"/>
      <c r="F578" s="32"/>
      <c r="K578" s="3"/>
      <c r="L578" s="3"/>
    </row>
    <row r="579" spans="1:12" ht="13" x14ac:dyDescent="0.15">
      <c r="A579" s="7"/>
      <c r="B579" s="31"/>
      <c r="C579" s="31"/>
      <c r="D579" s="31"/>
      <c r="E579" s="32"/>
      <c r="F579" s="32"/>
      <c r="K579" s="3"/>
      <c r="L579" s="3"/>
    </row>
    <row r="580" spans="1:12" ht="13" x14ac:dyDescent="0.15">
      <c r="A580" s="7"/>
      <c r="B580" s="31"/>
      <c r="C580" s="31"/>
      <c r="D580" s="31"/>
      <c r="E580" s="32"/>
      <c r="F580" s="32"/>
      <c r="K580" s="3"/>
      <c r="L580" s="3"/>
    </row>
    <row r="581" spans="1:12" ht="13" x14ac:dyDescent="0.15">
      <c r="A581" s="7"/>
      <c r="B581" s="31"/>
      <c r="C581" s="31"/>
      <c r="D581" s="31"/>
      <c r="E581" s="32"/>
      <c r="F581" s="32"/>
      <c r="K581" s="3"/>
      <c r="L581" s="3"/>
    </row>
    <row r="582" spans="1:12" ht="13" x14ac:dyDescent="0.15">
      <c r="A582" s="7"/>
      <c r="B582" s="31"/>
      <c r="C582" s="31"/>
      <c r="D582" s="31"/>
      <c r="E582" s="32"/>
      <c r="F582" s="32"/>
      <c r="K582" s="3"/>
      <c r="L582" s="3"/>
    </row>
    <row r="583" spans="1:12" ht="13" x14ac:dyDescent="0.15">
      <c r="A583" s="7"/>
      <c r="B583" s="31"/>
      <c r="C583" s="31"/>
      <c r="D583" s="31"/>
      <c r="E583" s="32"/>
      <c r="F583" s="32"/>
      <c r="K583" s="3"/>
      <c r="L583" s="3"/>
    </row>
    <row r="584" spans="1:12" ht="13" x14ac:dyDescent="0.15">
      <c r="A584" s="7"/>
      <c r="B584" s="31"/>
      <c r="C584" s="31"/>
      <c r="D584" s="31"/>
      <c r="E584" s="32"/>
      <c r="F584" s="32"/>
      <c r="K584" s="3"/>
      <c r="L584" s="3"/>
    </row>
    <row r="585" spans="1:12" ht="13" x14ac:dyDescent="0.15">
      <c r="A585" s="7"/>
      <c r="B585" s="31"/>
      <c r="C585" s="31"/>
      <c r="D585" s="31"/>
      <c r="E585" s="32"/>
      <c r="F585" s="32"/>
      <c r="K585" s="3"/>
      <c r="L585" s="3"/>
    </row>
    <row r="586" spans="1:12" ht="13" x14ac:dyDescent="0.15">
      <c r="A586" s="7"/>
      <c r="B586" s="31"/>
      <c r="C586" s="31"/>
      <c r="D586" s="31"/>
      <c r="E586" s="32"/>
      <c r="F586" s="32"/>
      <c r="K586" s="3"/>
      <c r="L586" s="3"/>
    </row>
    <row r="587" spans="1:12" ht="13" x14ac:dyDescent="0.15">
      <c r="A587" s="7"/>
      <c r="B587" s="31"/>
      <c r="C587" s="31"/>
      <c r="D587" s="31"/>
      <c r="E587" s="32"/>
      <c r="F587" s="32"/>
      <c r="K587" s="3"/>
      <c r="L587" s="3"/>
    </row>
    <row r="588" spans="1:12" ht="13" x14ac:dyDescent="0.15">
      <c r="A588" s="7"/>
      <c r="B588" s="31"/>
      <c r="C588" s="31"/>
      <c r="D588" s="31"/>
      <c r="E588" s="32"/>
      <c r="F588" s="32"/>
      <c r="K588" s="3"/>
      <c r="L588" s="3"/>
    </row>
    <row r="589" spans="1:12" ht="13" x14ac:dyDescent="0.15">
      <c r="A589" s="7"/>
      <c r="B589" s="31"/>
      <c r="C589" s="31"/>
      <c r="D589" s="31"/>
      <c r="E589" s="32"/>
      <c r="F589" s="32"/>
      <c r="K589" s="3"/>
      <c r="L589" s="3"/>
    </row>
    <row r="590" spans="1:12" ht="13" x14ac:dyDescent="0.15">
      <c r="A590" s="7"/>
      <c r="B590" s="31"/>
      <c r="C590" s="31"/>
      <c r="D590" s="31"/>
      <c r="E590" s="32"/>
      <c r="F590" s="32"/>
      <c r="K590" s="3"/>
      <c r="L590" s="3"/>
    </row>
    <row r="591" spans="1:12" ht="13" x14ac:dyDescent="0.15">
      <c r="A591" s="7"/>
      <c r="B591" s="31"/>
      <c r="C591" s="31"/>
      <c r="D591" s="31"/>
      <c r="E591" s="32"/>
      <c r="F591" s="32"/>
      <c r="K591" s="3"/>
      <c r="L591" s="3"/>
    </row>
    <row r="592" spans="1:12" ht="13" x14ac:dyDescent="0.15">
      <c r="A592" s="7"/>
      <c r="B592" s="31"/>
      <c r="C592" s="31"/>
      <c r="D592" s="31"/>
      <c r="E592" s="32"/>
      <c r="F592" s="32"/>
      <c r="K592" s="3"/>
      <c r="L592" s="3"/>
    </row>
    <row r="593" spans="1:12" ht="13" x14ac:dyDescent="0.15">
      <c r="A593" s="7"/>
      <c r="B593" s="31"/>
      <c r="C593" s="31"/>
      <c r="D593" s="31"/>
      <c r="E593" s="32"/>
      <c r="F593" s="32"/>
      <c r="K593" s="3"/>
      <c r="L593" s="3"/>
    </row>
    <row r="594" spans="1:12" ht="13" x14ac:dyDescent="0.15">
      <c r="A594" s="7"/>
      <c r="B594" s="31"/>
      <c r="C594" s="31"/>
      <c r="D594" s="31"/>
      <c r="E594" s="32"/>
      <c r="F594" s="32"/>
      <c r="K594" s="3"/>
      <c r="L594" s="3"/>
    </row>
    <row r="595" spans="1:12" ht="13" x14ac:dyDescent="0.15">
      <c r="A595" s="7"/>
      <c r="B595" s="31"/>
      <c r="C595" s="31"/>
      <c r="D595" s="31"/>
      <c r="E595" s="32"/>
      <c r="F595" s="32"/>
      <c r="K595" s="3"/>
      <c r="L595" s="3"/>
    </row>
    <row r="596" spans="1:12" ht="13" x14ac:dyDescent="0.15">
      <c r="A596" s="7"/>
      <c r="B596" s="31"/>
      <c r="C596" s="31"/>
      <c r="D596" s="31"/>
      <c r="E596" s="32"/>
      <c r="F596" s="32"/>
      <c r="K596" s="3"/>
      <c r="L596" s="3"/>
    </row>
    <row r="597" spans="1:12" ht="13" x14ac:dyDescent="0.15">
      <c r="A597" s="7"/>
      <c r="B597" s="31"/>
      <c r="C597" s="31"/>
      <c r="D597" s="31"/>
      <c r="E597" s="32"/>
      <c r="F597" s="32"/>
      <c r="K597" s="3"/>
      <c r="L597" s="3"/>
    </row>
    <row r="598" spans="1:12" ht="13" x14ac:dyDescent="0.15">
      <c r="A598" s="7"/>
      <c r="B598" s="31"/>
      <c r="C598" s="31"/>
      <c r="D598" s="31"/>
      <c r="E598" s="32"/>
      <c r="F598" s="32"/>
      <c r="K598" s="3"/>
      <c r="L598" s="3"/>
    </row>
    <row r="599" spans="1:12" ht="13" x14ac:dyDescent="0.15">
      <c r="A599" s="7"/>
      <c r="B599" s="31"/>
      <c r="C599" s="31"/>
      <c r="D599" s="31"/>
      <c r="E599" s="32"/>
      <c r="F599" s="32"/>
      <c r="K599" s="3"/>
      <c r="L599" s="3"/>
    </row>
    <row r="600" spans="1:12" ht="13" x14ac:dyDescent="0.15">
      <c r="A600" s="7"/>
      <c r="B600" s="31"/>
      <c r="C600" s="31"/>
      <c r="D600" s="31"/>
      <c r="E600" s="32"/>
      <c r="F600" s="32"/>
      <c r="K600" s="3"/>
      <c r="L600" s="3"/>
    </row>
    <row r="601" spans="1:12" ht="13" x14ac:dyDescent="0.15">
      <c r="A601" s="7"/>
      <c r="B601" s="31"/>
      <c r="C601" s="31"/>
      <c r="D601" s="31"/>
      <c r="E601" s="32"/>
      <c r="F601" s="32"/>
      <c r="K601" s="3"/>
      <c r="L601" s="3"/>
    </row>
    <row r="602" spans="1:12" ht="13" x14ac:dyDescent="0.15">
      <c r="A602" s="7"/>
      <c r="B602" s="31"/>
      <c r="C602" s="31"/>
      <c r="D602" s="31"/>
      <c r="E602" s="32"/>
      <c r="F602" s="32"/>
      <c r="K602" s="3"/>
      <c r="L602" s="3"/>
    </row>
    <row r="603" spans="1:12" ht="13" x14ac:dyDescent="0.15">
      <c r="A603" s="7"/>
      <c r="B603" s="31"/>
      <c r="C603" s="31"/>
      <c r="D603" s="31"/>
      <c r="E603" s="32"/>
      <c r="F603" s="32"/>
      <c r="K603" s="3"/>
      <c r="L603" s="3"/>
    </row>
    <row r="604" spans="1:12" ht="13" x14ac:dyDescent="0.15">
      <c r="A604" s="7"/>
      <c r="B604" s="31"/>
      <c r="C604" s="31"/>
      <c r="D604" s="31"/>
      <c r="E604" s="32"/>
      <c r="F604" s="32"/>
      <c r="K604" s="3"/>
      <c r="L604" s="3"/>
    </row>
    <row r="605" spans="1:12" ht="13" x14ac:dyDescent="0.15">
      <c r="A605" s="7"/>
      <c r="B605" s="31"/>
      <c r="C605" s="31"/>
      <c r="D605" s="31"/>
      <c r="E605" s="32"/>
      <c r="F605" s="32"/>
      <c r="K605" s="3"/>
      <c r="L605" s="3"/>
    </row>
    <row r="606" spans="1:12" ht="13" x14ac:dyDescent="0.15">
      <c r="A606" s="7"/>
      <c r="B606" s="31"/>
      <c r="C606" s="31"/>
      <c r="D606" s="31"/>
      <c r="E606" s="32"/>
      <c r="F606" s="32"/>
      <c r="K606" s="3"/>
      <c r="L606" s="3"/>
    </row>
    <row r="607" spans="1:12" ht="13" x14ac:dyDescent="0.15">
      <c r="A607" s="7"/>
      <c r="B607" s="31"/>
      <c r="C607" s="31"/>
      <c r="D607" s="31"/>
      <c r="E607" s="32"/>
      <c r="F607" s="32"/>
      <c r="K607" s="3"/>
      <c r="L607" s="3"/>
    </row>
    <row r="608" spans="1:12" ht="13" x14ac:dyDescent="0.15">
      <c r="A608" s="7"/>
      <c r="B608" s="31"/>
      <c r="C608" s="31"/>
      <c r="D608" s="31"/>
      <c r="E608" s="32"/>
      <c r="F608" s="32"/>
      <c r="K608" s="3"/>
      <c r="L608" s="3"/>
    </row>
    <row r="609" spans="1:12" ht="13" x14ac:dyDescent="0.15">
      <c r="A609" s="7"/>
      <c r="B609" s="31"/>
      <c r="C609" s="31"/>
      <c r="D609" s="31"/>
      <c r="E609" s="32"/>
      <c r="F609" s="32"/>
      <c r="K609" s="3"/>
      <c r="L609" s="3"/>
    </row>
    <row r="610" spans="1:12" ht="13" x14ac:dyDescent="0.15">
      <c r="A610" s="7"/>
      <c r="B610" s="31"/>
      <c r="C610" s="31"/>
      <c r="D610" s="31"/>
      <c r="E610" s="32"/>
      <c r="F610" s="32"/>
      <c r="K610" s="3"/>
      <c r="L610" s="3"/>
    </row>
    <row r="611" spans="1:12" ht="13" x14ac:dyDescent="0.15">
      <c r="A611" s="7"/>
      <c r="B611" s="31"/>
      <c r="C611" s="31"/>
      <c r="D611" s="31"/>
      <c r="E611" s="32"/>
      <c r="F611" s="32"/>
      <c r="K611" s="3"/>
      <c r="L611" s="3"/>
    </row>
    <row r="612" spans="1:12" ht="13" x14ac:dyDescent="0.15">
      <c r="A612" s="7"/>
      <c r="B612" s="31"/>
      <c r="C612" s="31"/>
      <c r="D612" s="31"/>
      <c r="E612" s="32"/>
      <c r="F612" s="32"/>
      <c r="K612" s="3"/>
      <c r="L612" s="3"/>
    </row>
    <row r="613" spans="1:12" ht="13" x14ac:dyDescent="0.15">
      <c r="A613" s="7"/>
      <c r="B613" s="31"/>
      <c r="C613" s="31"/>
      <c r="D613" s="31"/>
      <c r="E613" s="32"/>
      <c r="F613" s="32"/>
      <c r="K613" s="3"/>
      <c r="L613" s="3"/>
    </row>
    <row r="614" spans="1:12" ht="13" x14ac:dyDescent="0.15">
      <c r="A614" s="7"/>
      <c r="B614" s="31"/>
      <c r="C614" s="31"/>
      <c r="D614" s="31"/>
      <c r="E614" s="32"/>
      <c r="F614" s="32"/>
      <c r="K614" s="3"/>
      <c r="L614" s="3"/>
    </row>
    <row r="615" spans="1:12" ht="13" x14ac:dyDescent="0.15">
      <c r="A615" s="7"/>
      <c r="B615" s="31"/>
      <c r="C615" s="31"/>
      <c r="D615" s="31"/>
      <c r="E615" s="32"/>
      <c r="F615" s="32"/>
      <c r="K615" s="3"/>
      <c r="L615" s="3"/>
    </row>
    <row r="616" spans="1:12" ht="13" x14ac:dyDescent="0.15">
      <c r="A616" s="7"/>
      <c r="B616" s="31"/>
      <c r="C616" s="31"/>
      <c r="D616" s="31"/>
      <c r="E616" s="32"/>
      <c r="F616" s="32"/>
      <c r="K616" s="3"/>
      <c r="L616" s="3"/>
    </row>
    <row r="617" spans="1:12" ht="13" x14ac:dyDescent="0.15">
      <c r="A617" s="7"/>
      <c r="B617" s="31"/>
      <c r="C617" s="31"/>
      <c r="D617" s="31"/>
      <c r="E617" s="32"/>
      <c r="F617" s="32"/>
      <c r="K617" s="3"/>
      <c r="L617" s="3"/>
    </row>
    <row r="618" spans="1:12" ht="13" x14ac:dyDescent="0.15">
      <c r="A618" s="7"/>
      <c r="B618" s="31"/>
      <c r="C618" s="31"/>
      <c r="D618" s="31"/>
      <c r="E618" s="32"/>
      <c r="F618" s="32"/>
      <c r="K618" s="3"/>
      <c r="L618" s="3"/>
    </row>
    <row r="619" spans="1:12" ht="13" x14ac:dyDescent="0.15">
      <c r="A619" s="7"/>
      <c r="B619" s="31"/>
      <c r="C619" s="31"/>
      <c r="D619" s="31"/>
      <c r="E619" s="32"/>
      <c r="F619" s="32"/>
      <c r="K619" s="3"/>
      <c r="L619" s="3"/>
    </row>
    <row r="620" spans="1:12" ht="13" x14ac:dyDescent="0.15">
      <c r="A620" s="7"/>
      <c r="B620" s="31"/>
      <c r="C620" s="31"/>
      <c r="D620" s="31"/>
      <c r="E620" s="32"/>
      <c r="F620" s="32"/>
      <c r="K620" s="3"/>
      <c r="L620" s="3"/>
    </row>
    <row r="621" spans="1:12" ht="13" x14ac:dyDescent="0.15">
      <c r="A621" s="7"/>
      <c r="B621" s="31"/>
      <c r="C621" s="31"/>
      <c r="D621" s="31"/>
      <c r="E621" s="32"/>
      <c r="F621" s="32"/>
      <c r="K621" s="3"/>
      <c r="L621" s="3"/>
    </row>
    <row r="622" spans="1:12" ht="13" x14ac:dyDescent="0.15">
      <c r="A622" s="7"/>
      <c r="B622" s="31"/>
      <c r="C622" s="31"/>
      <c r="D622" s="31"/>
      <c r="E622" s="32"/>
      <c r="F622" s="32"/>
      <c r="K622" s="3"/>
      <c r="L622" s="3"/>
    </row>
    <row r="623" spans="1:12" ht="13" x14ac:dyDescent="0.15">
      <c r="A623" s="7"/>
      <c r="B623" s="31"/>
      <c r="C623" s="31"/>
      <c r="D623" s="31"/>
      <c r="E623" s="32"/>
      <c r="F623" s="32"/>
      <c r="K623" s="3"/>
      <c r="L623" s="3"/>
    </row>
    <row r="624" spans="1:12" ht="13" x14ac:dyDescent="0.15">
      <c r="A624" s="7"/>
      <c r="B624" s="31"/>
      <c r="C624" s="31"/>
      <c r="D624" s="31"/>
      <c r="E624" s="32"/>
      <c r="F624" s="32"/>
      <c r="K624" s="3"/>
      <c r="L624" s="3"/>
    </row>
    <row r="625" spans="1:12" ht="13" x14ac:dyDescent="0.15">
      <c r="A625" s="7"/>
      <c r="B625" s="31"/>
      <c r="C625" s="31"/>
      <c r="D625" s="31"/>
      <c r="E625" s="32"/>
      <c r="F625" s="32"/>
      <c r="K625" s="3"/>
      <c r="L625" s="3"/>
    </row>
    <row r="626" spans="1:12" ht="13" x14ac:dyDescent="0.15">
      <c r="A626" s="7"/>
      <c r="B626" s="31"/>
      <c r="C626" s="31"/>
      <c r="D626" s="31"/>
      <c r="E626" s="32"/>
      <c r="F626" s="32"/>
      <c r="K626" s="3"/>
      <c r="L626" s="3"/>
    </row>
    <row r="627" spans="1:12" ht="13" x14ac:dyDescent="0.15">
      <c r="A627" s="7"/>
      <c r="B627" s="31"/>
      <c r="C627" s="31"/>
      <c r="D627" s="31"/>
      <c r="E627" s="32"/>
      <c r="F627" s="32"/>
      <c r="K627" s="3"/>
      <c r="L627" s="3"/>
    </row>
    <row r="628" spans="1:12" ht="13" x14ac:dyDescent="0.15">
      <c r="A628" s="7"/>
      <c r="B628" s="31"/>
      <c r="C628" s="31"/>
      <c r="D628" s="31"/>
      <c r="E628" s="32"/>
      <c r="F628" s="32"/>
      <c r="K628" s="3"/>
      <c r="L628" s="3"/>
    </row>
    <row r="629" spans="1:12" ht="13" x14ac:dyDescent="0.15">
      <c r="A629" s="7"/>
      <c r="B629" s="31"/>
      <c r="C629" s="31"/>
      <c r="D629" s="31"/>
      <c r="E629" s="32"/>
      <c r="F629" s="32"/>
      <c r="K629" s="3"/>
      <c r="L629" s="3"/>
    </row>
    <row r="630" spans="1:12" ht="13" x14ac:dyDescent="0.15">
      <c r="A630" s="7"/>
      <c r="B630" s="31"/>
      <c r="C630" s="31"/>
      <c r="D630" s="31"/>
      <c r="E630" s="32"/>
      <c r="F630" s="32"/>
      <c r="K630" s="3"/>
      <c r="L630" s="3"/>
    </row>
    <row r="631" spans="1:12" ht="13" x14ac:dyDescent="0.15">
      <c r="A631" s="7"/>
      <c r="B631" s="31"/>
      <c r="C631" s="31"/>
      <c r="D631" s="31"/>
      <c r="E631" s="32"/>
      <c r="F631" s="32"/>
      <c r="K631" s="3"/>
      <c r="L631" s="3"/>
    </row>
    <row r="632" spans="1:12" ht="13" x14ac:dyDescent="0.15">
      <c r="A632" s="7"/>
      <c r="B632" s="31"/>
      <c r="C632" s="31"/>
      <c r="D632" s="31"/>
      <c r="E632" s="32"/>
      <c r="F632" s="32"/>
      <c r="K632" s="3"/>
      <c r="L632" s="3"/>
    </row>
    <row r="633" spans="1:12" ht="13" x14ac:dyDescent="0.15">
      <c r="A633" s="7"/>
      <c r="B633" s="31"/>
      <c r="C633" s="31"/>
      <c r="D633" s="31"/>
      <c r="E633" s="32"/>
      <c r="F633" s="32"/>
      <c r="K633" s="3"/>
      <c r="L633" s="3"/>
    </row>
    <row r="634" spans="1:12" ht="13" x14ac:dyDescent="0.15">
      <c r="A634" s="7"/>
      <c r="B634" s="31"/>
      <c r="C634" s="31"/>
      <c r="D634" s="31"/>
      <c r="E634" s="32"/>
      <c r="F634" s="32"/>
      <c r="K634" s="3"/>
      <c r="L634" s="3"/>
    </row>
    <row r="635" spans="1:12" ht="13" x14ac:dyDescent="0.15">
      <c r="A635" s="7"/>
      <c r="B635" s="31"/>
      <c r="C635" s="31"/>
      <c r="D635" s="31"/>
      <c r="E635" s="32"/>
      <c r="F635" s="32"/>
      <c r="K635" s="3"/>
      <c r="L635" s="3"/>
    </row>
    <row r="636" spans="1:12" ht="13" x14ac:dyDescent="0.15">
      <c r="A636" s="7"/>
      <c r="B636" s="31"/>
      <c r="C636" s="31"/>
      <c r="D636" s="31"/>
      <c r="E636" s="32"/>
      <c r="F636" s="32"/>
      <c r="K636" s="3"/>
      <c r="L636" s="3"/>
    </row>
    <row r="637" spans="1:12" ht="13" x14ac:dyDescent="0.15">
      <c r="A637" s="7"/>
      <c r="B637" s="31"/>
      <c r="C637" s="31"/>
      <c r="D637" s="31"/>
      <c r="E637" s="32"/>
      <c r="F637" s="32"/>
      <c r="K637" s="3"/>
      <c r="L637" s="3"/>
    </row>
    <row r="638" spans="1:12" ht="13" x14ac:dyDescent="0.15">
      <c r="A638" s="7"/>
      <c r="B638" s="31"/>
      <c r="C638" s="31"/>
      <c r="D638" s="31"/>
      <c r="E638" s="32"/>
      <c r="F638" s="32"/>
      <c r="K638" s="3"/>
      <c r="L638" s="3"/>
    </row>
    <row r="639" spans="1:12" ht="13" x14ac:dyDescent="0.15">
      <c r="A639" s="7"/>
      <c r="B639" s="31"/>
      <c r="C639" s="31"/>
      <c r="D639" s="31"/>
      <c r="E639" s="32"/>
      <c r="F639" s="32"/>
      <c r="K639" s="3"/>
      <c r="L639" s="3"/>
    </row>
    <row r="640" spans="1:12" ht="13" x14ac:dyDescent="0.15">
      <c r="A640" s="7"/>
      <c r="B640" s="31"/>
      <c r="C640" s="31"/>
      <c r="D640" s="31"/>
      <c r="E640" s="32"/>
      <c r="F640" s="32"/>
      <c r="K640" s="3"/>
      <c r="L640" s="3"/>
    </row>
    <row r="641" spans="1:12" ht="13" x14ac:dyDescent="0.15">
      <c r="A641" s="7"/>
      <c r="B641" s="31"/>
      <c r="C641" s="31"/>
      <c r="D641" s="31"/>
      <c r="E641" s="32"/>
      <c r="F641" s="32"/>
      <c r="K641" s="3"/>
      <c r="L641" s="3"/>
    </row>
    <row r="642" spans="1:12" ht="13" x14ac:dyDescent="0.15">
      <c r="A642" s="7"/>
      <c r="B642" s="31"/>
      <c r="C642" s="31"/>
      <c r="D642" s="31"/>
      <c r="E642" s="32"/>
      <c r="F642" s="32"/>
      <c r="K642" s="3"/>
      <c r="L642" s="3"/>
    </row>
    <row r="643" spans="1:12" ht="13" x14ac:dyDescent="0.15">
      <c r="A643" s="7"/>
      <c r="B643" s="31"/>
      <c r="C643" s="31"/>
      <c r="D643" s="31"/>
      <c r="E643" s="32"/>
      <c r="F643" s="32"/>
      <c r="K643" s="3"/>
      <c r="L643" s="3"/>
    </row>
    <row r="644" spans="1:12" ht="13" x14ac:dyDescent="0.15">
      <c r="A644" s="7"/>
      <c r="B644" s="31"/>
      <c r="C644" s="31"/>
      <c r="D644" s="31"/>
      <c r="E644" s="32"/>
      <c r="F644" s="32"/>
      <c r="K644" s="3"/>
      <c r="L644" s="3"/>
    </row>
    <row r="645" spans="1:12" ht="13" x14ac:dyDescent="0.15">
      <c r="A645" s="7"/>
      <c r="B645" s="31"/>
      <c r="C645" s="31"/>
      <c r="D645" s="31"/>
      <c r="E645" s="32"/>
      <c r="F645" s="32"/>
      <c r="K645" s="3"/>
      <c r="L645" s="3"/>
    </row>
    <row r="646" spans="1:12" ht="13" x14ac:dyDescent="0.15">
      <c r="A646" s="7"/>
      <c r="B646" s="31"/>
      <c r="C646" s="31"/>
      <c r="D646" s="31"/>
      <c r="E646" s="32"/>
      <c r="F646" s="32"/>
      <c r="K646" s="3"/>
      <c r="L646" s="3"/>
    </row>
    <row r="647" spans="1:12" ht="13" x14ac:dyDescent="0.15">
      <c r="A647" s="7"/>
      <c r="B647" s="31"/>
      <c r="C647" s="31"/>
      <c r="D647" s="31"/>
      <c r="E647" s="32"/>
      <c r="F647" s="32"/>
      <c r="K647" s="3"/>
      <c r="L647" s="3"/>
    </row>
    <row r="648" spans="1:12" ht="13" x14ac:dyDescent="0.15">
      <c r="A648" s="7"/>
      <c r="B648" s="31"/>
      <c r="C648" s="31"/>
      <c r="D648" s="31"/>
      <c r="E648" s="32"/>
      <c r="F648" s="32"/>
      <c r="K648" s="3"/>
      <c r="L648" s="3"/>
    </row>
    <row r="649" spans="1:12" ht="13" x14ac:dyDescent="0.15">
      <c r="A649" s="7"/>
      <c r="B649" s="31"/>
      <c r="C649" s="31"/>
      <c r="D649" s="31"/>
      <c r="E649" s="32"/>
      <c r="F649" s="32"/>
      <c r="K649" s="3"/>
      <c r="L649" s="3"/>
    </row>
    <row r="650" spans="1:12" ht="13" x14ac:dyDescent="0.15">
      <c r="A650" s="7"/>
      <c r="B650" s="31"/>
      <c r="C650" s="31"/>
      <c r="D650" s="31"/>
      <c r="E650" s="32"/>
      <c r="F650" s="32"/>
      <c r="K650" s="3"/>
      <c r="L650" s="3"/>
    </row>
    <row r="651" spans="1:12" ht="13" x14ac:dyDescent="0.15">
      <c r="A651" s="7"/>
      <c r="B651" s="31"/>
      <c r="C651" s="31"/>
      <c r="D651" s="31"/>
      <c r="E651" s="32"/>
      <c r="F651" s="32"/>
      <c r="K651" s="3"/>
      <c r="L651" s="3"/>
    </row>
    <row r="652" spans="1:12" ht="13" x14ac:dyDescent="0.15">
      <c r="A652" s="7"/>
      <c r="B652" s="31"/>
      <c r="C652" s="31"/>
      <c r="D652" s="31"/>
      <c r="E652" s="32"/>
      <c r="F652" s="32"/>
      <c r="K652" s="3"/>
      <c r="L652" s="3"/>
    </row>
    <row r="653" spans="1:12" ht="13" x14ac:dyDescent="0.15">
      <c r="A653" s="7"/>
      <c r="B653" s="31"/>
      <c r="C653" s="31"/>
      <c r="D653" s="31"/>
      <c r="E653" s="32"/>
      <c r="F653" s="32"/>
      <c r="K653" s="3"/>
      <c r="L653" s="3"/>
    </row>
    <row r="654" spans="1:12" ht="13" x14ac:dyDescent="0.15">
      <c r="A654" s="7"/>
      <c r="B654" s="31"/>
      <c r="C654" s="31"/>
      <c r="D654" s="31"/>
      <c r="E654" s="32"/>
      <c r="F654" s="32"/>
      <c r="K654" s="3"/>
      <c r="L654" s="3"/>
    </row>
    <row r="655" spans="1:12" ht="13" x14ac:dyDescent="0.15">
      <c r="A655" s="7"/>
      <c r="B655" s="31"/>
      <c r="C655" s="31"/>
      <c r="D655" s="31"/>
      <c r="E655" s="32"/>
      <c r="F655" s="32"/>
      <c r="K655" s="3"/>
      <c r="L655" s="3"/>
    </row>
    <row r="656" spans="1:12" ht="13" x14ac:dyDescent="0.15">
      <c r="A656" s="7"/>
      <c r="B656" s="31"/>
      <c r="C656" s="31"/>
      <c r="D656" s="31"/>
      <c r="E656" s="32"/>
      <c r="F656" s="32"/>
      <c r="K656" s="3"/>
      <c r="L656" s="3"/>
    </row>
    <row r="657" spans="1:12" ht="13" x14ac:dyDescent="0.15">
      <c r="A657" s="7"/>
      <c r="B657" s="31"/>
      <c r="C657" s="31"/>
      <c r="D657" s="31"/>
      <c r="E657" s="32"/>
      <c r="F657" s="32"/>
      <c r="K657" s="3"/>
      <c r="L657" s="3"/>
    </row>
    <row r="658" spans="1:12" ht="13" x14ac:dyDescent="0.15">
      <c r="A658" s="7"/>
      <c r="B658" s="31"/>
      <c r="C658" s="31"/>
      <c r="D658" s="31"/>
      <c r="E658" s="32"/>
      <c r="F658" s="32"/>
      <c r="K658" s="3"/>
      <c r="L658" s="3"/>
    </row>
    <row r="659" spans="1:12" ht="13" x14ac:dyDescent="0.15">
      <c r="A659" s="7"/>
      <c r="B659" s="31"/>
      <c r="C659" s="31"/>
      <c r="D659" s="31"/>
      <c r="E659" s="32"/>
      <c r="F659" s="32"/>
      <c r="K659" s="3"/>
      <c r="L659" s="3"/>
    </row>
    <row r="660" spans="1:12" ht="13" x14ac:dyDescent="0.15">
      <c r="A660" s="7"/>
      <c r="B660" s="31"/>
      <c r="C660" s="31"/>
      <c r="D660" s="31"/>
      <c r="E660" s="32"/>
      <c r="F660" s="32"/>
      <c r="K660" s="3"/>
      <c r="L660" s="3"/>
    </row>
    <row r="661" spans="1:12" ht="13" x14ac:dyDescent="0.15">
      <c r="A661" s="7"/>
      <c r="B661" s="31"/>
      <c r="C661" s="31"/>
      <c r="D661" s="31"/>
      <c r="E661" s="32"/>
      <c r="F661" s="32"/>
      <c r="K661" s="3"/>
      <c r="L661" s="3"/>
    </row>
    <row r="662" spans="1:12" ht="13" x14ac:dyDescent="0.15">
      <c r="A662" s="7"/>
      <c r="B662" s="31"/>
      <c r="C662" s="31"/>
      <c r="D662" s="31"/>
      <c r="E662" s="32"/>
      <c r="F662" s="32"/>
      <c r="K662" s="3"/>
      <c r="L662" s="3"/>
    </row>
    <row r="663" spans="1:12" ht="13" x14ac:dyDescent="0.15">
      <c r="A663" s="7"/>
      <c r="B663" s="31"/>
      <c r="C663" s="31"/>
      <c r="D663" s="31"/>
      <c r="E663" s="32"/>
      <c r="F663" s="32"/>
      <c r="K663" s="3"/>
      <c r="L663" s="3"/>
    </row>
    <row r="664" spans="1:12" ht="13" x14ac:dyDescent="0.15">
      <c r="A664" s="7"/>
      <c r="B664" s="31"/>
      <c r="C664" s="31"/>
      <c r="D664" s="31"/>
      <c r="E664" s="32"/>
      <c r="F664" s="32"/>
      <c r="K664" s="3"/>
      <c r="L664" s="3"/>
    </row>
    <row r="665" spans="1:12" ht="13" x14ac:dyDescent="0.15">
      <c r="A665" s="7"/>
      <c r="B665" s="31"/>
      <c r="C665" s="31"/>
      <c r="D665" s="31"/>
      <c r="E665" s="32"/>
      <c r="F665" s="32"/>
      <c r="K665" s="3"/>
      <c r="L665" s="3"/>
    </row>
    <row r="666" spans="1:12" ht="13" x14ac:dyDescent="0.15">
      <c r="A666" s="7"/>
      <c r="B666" s="31"/>
      <c r="C666" s="31"/>
      <c r="D666" s="31"/>
      <c r="E666" s="32"/>
      <c r="F666" s="32"/>
      <c r="K666" s="3"/>
      <c r="L666" s="3"/>
    </row>
    <row r="667" spans="1:12" ht="13" x14ac:dyDescent="0.15">
      <c r="A667" s="7"/>
      <c r="B667" s="31"/>
      <c r="C667" s="31"/>
      <c r="D667" s="31"/>
      <c r="E667" s="32"/>
      <c r="F667" s="32"/>
      <c r="K667" s="3"/>
      <c r="L667" s="3"/>
    </row>
    <row r="668" spans="1:12" ht="13" x14ac:dyDescent="0.15">
      <c r="A668" s="7"/>
      <c r="B668" s="31"/>
      <c r="C668" s="31"/>
      <c r="D668" s="31"/>
      <c r="E668" s="32"/>
      <c r="F668" s="32"/>
      <c r="K668" s="3"/>
      <c r="L668" s="3"/>
    </row>
    <row r="669" spans="1:12" ht="13" x14ac:dyDescent="0.15">
      <c r="A669" s="7"/>
      <c r="B669" s="31"/>
      <c r="C669" s="31"/>
      <c r="D669" s="31"/>
      <c r="E669" s="32"/>
      <c r="F669" s="32"/>
      <c r="K669" s="3"/>
      <c r="L669" s="3"/>
    </row>
    <row r="670" spans="1:12" ht="13" x14ac:dyDescent="0.15">
      <c r="A670" s="7"/>
      <c r="B670" s="31"/>
      <c r="C670" s="31"/>
      <c r="D670" s="31"/>
      <c r="E670" s="32"/>
      <c r="F670" s="32"/>
      <c r="K670" s="3"/>
      <c r="L670" s="3"/>
    </row>
    <row r="671" spans="1:12" ht="13" x14ac:dyDescent="0.15">
      <c r="A671" s="7"/>
      <c r="B671" s="31"/>
      <c r="C671" s="31"/>
      <c r="D671" s="31"/>
      <c r="E671" s="32"/>
      <c r="F671" s="32"/>
      <c r="K671" s="3"/>
      <c r="L671" s="3"/>
    </row>
    <row r="672" spans="1:12" ht="13" x14ac:dyDescent="0.15">
      <c r="A672" s="7"/>
      <c r="B672" s="31"/>
      <c r="C672" s="31"/>
      <c r="D672" s="31"/>
      <c r="E672" s="32"/>
      <c r="F672" s="32"/>
      <c r="K672" s="3"/>
      <c r="L672" s="3"/>
    </row>
    <row r="673" spans="1:12" ht="13" x14ac:dyDescent="0.15">
      <c r="A673" s="7"/>
      <c r="B673" s="31"/>
      <c r="C673" s="31"/>
      <c r="D673" s="31"/>
      <c r="E673" s="32"/>
      <c r="F673" s="32"/>
      <c r="K673" s="3"/>
      <c r="L673" s="3"/>
    </row>
    <row r="674" spans="1:12" ht="13" x14ac:dyDescent="0.15">
      <c r="A674" s="7"/>
      <c r="B674" s="31"/>
      <c r="C674" s="31"/>
      <c r="D674" s="31"/>
      <c r="E674" s="32"/>
      <c r="F674" s="32"/>
      <c r="K674" s="3"/>
      <c r="L674" s="3"/>
    </row>
    <row r="675" spans="1:12" ht="13" x14ac:dyDescent="0.15">
      <c r="A675" s="7"/>
      <c r="B675" s="31"/>
      <c r="C675" s="31"/>
      <c r="D675" s="31"/>
      <c r="E675" s="32"/>
      <c r="F675" s="32"/>
      <c r="K675" s="3"/>
      <c r="L675" s="3"/>
    </row>
    <row r="676" spans="1:12" ht="13" x14ac:dyDescent="0.15">
      <c r="A676" s="7"/>
      <c r="B676" s="31"/>
      <c r="C676" s="31"/>
      <c r="D676" s="31"/>
      <c r="E676" s="32"/>
      <c r="F676" s="32"/>
      <c r="K676" s="3"/>
      <c r="L676" s="3"/>
    </row>
    <row r="677" spans="1:12" ht="13" x14ac:dyDescent="0.15">
      <c r="A677" s="7"/>
      <c r="B677" s="31"/>
      <c r="C677" s="31"/>
      <c r="D677" s="31"/>
      <c r="E677" s="32"/>
      <c r="F677" s="32"/>
      <c r="K677" s="3"/>
      <c r="L677" s="3"/>
    </row>
    <row r="678" spans="1:12" ht="13" x14ac:dyDescent="0.15">
      <c r="A678" s="7"/>
      <c r="B678" s="31"/>
      <c r="C678" s="31"/>
      <c r="D678" s="31"/>
      <c r="E678" s="32"/>
      <c r="F678" s="32"/>
      <c r="K678" s="3"/>
      <c r="L678" s="3"/>
    </row>
    <row r="679" spans="1:12" ht="13" x14ac:dyDescent="0.15">
      <c r="A679" s="7"/>
      <c r="B679" s="31"/>
      <c r="C679" s="31"/>
      <c r="D679" s="31"/>
      <c r="E679" s="32"/>
      <c r="F679" s="32"/>
      <c r="K679" s="3"/>
      <c r="L679" s="3"/>
    </row>
    <row r="680" spans="1:12" ht="13" x14ac:dyDescent="0.15">
      <c r="A680" s="7"/>
      <c r="B680" s="31"/>
      <c r="C680" s="31"/>
      <c r="D680" s="31"/>
      <c r="E680" s="32"/>
      <c r="F680" s="32"/>
      <c r="K680" s="3"/>
      <c r="L680" s="3"/>
    </row>
    <row r="681" spans="1:12" ht="13" x14ac:dyDescent="0.15">
      <c r="A681" s="7"/>
      <c r="B681" s="31"/>
      <c r="C681" s="31"/>
      <c r="D681" s="31"/>
      <c r="E681" s="32"/>
      <c r="F681" s="32"/>
      <c r="K681" s="3"/>
      <c r="L681" s="3"/>
    </row>
    <row r="682" spans="1:12" ht="13" x14ac:dyDescent="0.15">
      <c r="A682" s="7"/>
      <c r="B682" s="31"/>
      <c r="C682" s="31"/>
      <c r="D682" s="31"/>
      <c r="E682" s="32"/>
      <c r="F682" s="32"/>
      <c r="K682" s="3"/>
      <c r="L682" s="3"/>
    </row>
    <row r="683" spans="1:12" ht="13" x14ac:dyDescent="0.15">
      <c r="A683" s="7"/>
      <c r="B683" s="31"/>
      <c r="C683" s="31"/>
      <c r="D683" s="31"/>
      <c r="E683" s="32"/>
      <c r="F683" s="32"/>
      <c r="K683" s="3"/>
      <c r="L683" s="3"/>
    </row>
    <row r="684" spans="1:12" ht="13" x14ac:dyDescent="0.15">
      <c r="A684" s="7"/>
      <c r="B684" s="31"/>
      <c r="C684" s="31"/>
      <c r="D684" s="31"/>
      <c r="E684" s="32"/>
      <c r="F684" s="32"/>
      <c r="K684" s="3"/>
      <c r="L684" s="3"/>
    </row>
    <row r="685" spans="1:12" ht="13" x14ac:dyDescent="0.15">
      <c r="A685" s="7"/>
      <c r="B685" s="31"/>
      <c r="C685" s="31"/>
      <c r="D685" s="31"/>
      <c r="E685" s="32"/>
      <c r="F685" s="32"/>
      <c r="K685" s="3"/>
      <c r="L685" s="3"/>
    </row>
    <row r="686" spans="1:12" ht="13" x14ac:dyDescent="0.15">
      <c r="A686" s="7"/>
      <c r="B686" s="31"/>
      <c r="C686" s="31"/>
      <c r="D686" s="31"/>
      <c r="E686" s="32"/>
      <c r="F686" s="32"/>
      <c r="K686" s="3"/>
      <c r="L686" s="3"/>
    </row>
    <row r="687" spans="1:12" ht="13" x14ac:dyDescent="0.15">
      <c r="A687" s="7"/>
      <c r="B687" s="31"/>
      <c r="C687" s="31"/>
      <c r="D687" s="31"/>
      <c r="E687" s="32"/>
      <c r="F687" s="32"/>
      <c r="K687" s="3"/>
      <c r="L687" s="3"/>
    </row>
    <row r="688" spans="1:12" ht="13" x14ac:dyDescent="0.15">
      <c r="A688" s="7"/>
      <c r="B688" s="31"/>
      <c r="C688" s="31"/>
      <c r="D688" s="31"/>
      <c r="E688" s="32"/>
      <c r="F688" s="32"/>
      <c r="K688" s="3"/>
      <c r="L688" s="3"/>
    </row>
    <row r="689" spans="1:12" ht="13" x14ac:dyDescent="0.15">
      <c r="A689" s="7"/>
      <c r="B689" s="31"/>
      <c r="C689" s="31"/>
      <c r="D689" s="31"/>
      <c r="E689" s="32"/>
      <c r="F689" s="32"/>
      <c r="K689" s="3"/>
      <c r="L689" s="3"/>
    </row>
    <row r="690" spans="1:12" ht="13" x14ac:dyDescent="0.15">
      <c r="A690" s="7"/>
      <c r="B690" s="31"/>
      <c r="C690" s="31"/>
      <c r="D690" s="31"/>
      <c r="E690" s="32"/>
      <c r="F690" s="32"/>
      <c r="K690" s="3"/>
      <c r="L690" s="3"/>
    </row>
    <row r="691" spans="1:12" ht="13" x14ac:dyDescent="0.15">
      <c r="A691" s="7"/>
      <c r="B691" s="31"/>
      <c r="C691" s="31"/>
      <c r="D691" s="31"/>
      <c r="E691" s="32"/>
      <c r="F691" s="32"/>
      <c r="K691" s="3"/>
      <c r="L691" s="3"/>
    </row>
    <row r="692" spans="1:12" ht="13" x14ac:dyDescent="0.15">
      <c r="A692" s="7"/>
      <c r="B692" s="31"/>
      <c r="C692" s="31"/>
      <c r="D692" s="31"/>
      <c r="E692" s="32"/>
      <c r="F692" s="32"/>
      <c r="K692" s="3"/>
      <c r="L692" s="3"/>
    </row>
    <row r="693" spans="1:12" ht="13" x14ac:dyDescent="0.15">
      <c r="A693" s="7"/>
      <c r="B693" s="31"/>
      <c r="C693" s="31"/>
      <c r="D693" s="31"/>
      <c r="E693" s="32"/>
      <c r="F693" s="32"/>
      <c r="K693" s="3"/>
      <c r="L693" s="3"/>
    </row>
    <row r="694" spans="1:12" ht="13" x14ac:dyDescent="0.15">
      <c r="A694" s="7"/>
      <c r="B694" s="31"/>
      <c r="C694" s="31"/>
      <c r="D694" s="31"/>
      <c r="E694" s="32"/>
      <c r="F694" s="32"/>
      <c r="K694" s="3"/>
      <c r="L694" s="3"/>
    </row>
    <row r="695" spans="1:12" ht="13" x14ac:dyDescent="0.15">
      <c r="A695" s="7"/>
      <c r="B695" s="31"/>
      <c r="C695" s="31"/>
      <c r="D695" s="31"/>
      <c r="E695" s="32"/>
      <c r="F695" s="32"/>
      <c r="K695" s="3"/>
      <c r="L695" s="3"/>
    </row>
    <row r="696" spans="1:12" ht="13" x14ac:dyDescent="0.15">
      <c r="A696" s="7"/>
      <c r="B696" s="31"/>
      <c r="C696" s="31"/>
      <c r="D696" s="31"/>
      <c r="E696" s="32"/>
      <c r="F696" s="32"/>
      <c r="K696" s="3"/>
      <c r="L696" s="3"/>
    </row>
    <row r="697" spans="1:12" ht="13" x14ac:dyDescent="0.15">
      <c r="A697" s="7"/>
      <c r="B697" s="31"/>
      <c r="C697" s="31"/>
      <c r="D697" s="31"/>
      <c r="E697" s="32"/>
      <c r="F697" s="32"/>
      <c r="K697" s="3"/>
      <c r="L697" s="3"/>
    </row>
    <row r="698" spans="1:12" ht="13" x14ac:dyDescent="0.15">
      <c r="A698" s="7"/>
      <c r="B698" s="31"/>
      <c r="C698" s="31"/>
      <c r="D698" s="31"/>
      <c r="E698" s="32"/>
      <c r="F698" s="32"/>
      <c r="K698" s="3"/>
      <c r="L698" s="3"/>
    </row>
    <row r="699" spans="1:12" ht="13" x14ac:dyDescent="0.15">
      <c r="A699" s="7"/>
      <c r="B699" s="31"/>
      <c r="C699" s="31"/>
      <c r="D699" s="31"/>
      <c r="E699" s="32"/>
      <c r="F699" s="32"/>
      <c r="K699" s="3"/>
      <c r="L699" s="3"/>
    </row>
    <row r="700" spans="1:12" ht="13" x14ac:dyDescent="0.15">
      <c r="A700" s="7"/>
      <c r="B700" s="31"/>
      <c r="C700" s="31"/>
      <c r="D700" s="31"/>
      <c r="E700" s="32"/>
      <c r="F700" s="32"/>
      <c r="K700" s="3"/>
      <c r="L700" s="3"/>
    </row>
    <row r="701" spans="1:12" ht="13" x14ac:dyDescent="0.15">
      <c r="A701" s="7"/>
      <c r="B701" s="31"/>
      <c r="C701" s="31"/>
      <c r="D701" s="31"/>
      <c r="E701" s="32"/>
      <c r="F701" s="32"/>
      <c r="K701" s="3"/>
      <c r="L701" s="3"/>
    </row>
    <row r="702" spans="1:12" ht="13" x14ac:dyDescent="0.15">
      <c r="A702" s="7"/>
      <c r="B702" s="31"/>
      <c r="C702" s="31"/>
      <c r="D702" s="31"/>
      <c r="E702" s="32"/>
      <c r="F702" s="32"/>
      <c r="K702" s="3"/>
      <c r="L702" s="3"/>
    </row>
    <row r="703" spans="1:12" ht="13" x14ac:dyDescent="0.15">
      <c r="A703" s="7"/>
      <c r="B703" s="31"/>
      <c r="C703" s="31"/>
      <c r="D703" s="31"/>
      <c r="E703" s="32"/>
      <c r="F703" s="32"/>
      <c r="K703" s="3"/>
      <c r="L703" s="3"/>
    </row>
    <row r="704" spans="1:12" ht="13" x14ac:dyDescent="0.15">
      <c r="A704" s="7"/>
      <c r="B704" s="31"/>
      <c r="C704" s="31"/>
      <c r="D704" s="31"/>
      <c r="E704" s="32"/>
      <c r="F704" s="32"/>
      <c r="K704" s="3"/>
      <c r="L704" s="3"/>
    </row>
    <row r="705" spans="1:12" ht="13" x14ac:dyDescent="0.15">
      <c r="A705" s="7"/>
      <c r="B705" s="31"/>
      <c r="C705" s="31"/>
      <c r="D705" s="31"/>
      <c r="E705" s="32"/>
      <c r="F705" s="32"/>
      <c r="K705" s="3"/>
      <c r="L705" s="3"/>
    </row>
    <row r="706" spans="1:12" ht="13" x14ac:dyDescent="0.15">
      <c r="A706" s="7"/>
      <c r="B706" s="31"/>
      <c r="C706" s="31"/>
      <c r="D706" s="31"/>
      <c r="E706" s="32"/>
      <c r="F706" s="32"/>
      <c r="K706" s="3"/>
      <c r="L706" s="3"/>
    </row>
    <row r="707" spans="1:12" ht="13" x14ac:dyDescent="0.15">
      <c r="A707" s="7"/>
      <c r="B707" s="31"/>
      <c r="C707" s="31"/>
      <c r="D707" s="31"/>
      <c r="E707" s="32"/>
      <c r="F707" s="32"/>
      <c r="K707" s="3"/>
      <c r="L707" s="3"/>
    </row>
    <row r="708" spans="1:12" ht="13" x14ac:dyDescent="0.15">
      <c r="A708" s="7"/>
      <c r="B708" s="31"/>
      <c r="C708" s="31"/>
      <c r="D708" s="31"/>
      <c r="E708" s="32"/>
      <c r="F708" s="32"/>
      <c r="K708" s="3"/>
      <c r="L708" s="3"/>
    </row>
    <row r="709" spans="1:12" ht="13" x14ac:dyDescent="0.15">
      <c r="A709" s="7"/>
      <c r="B709" s="31"/>
      <c r="C709" s="31"/>
      <c r="D709" s="31"/>
      <c r="E709" s="32"/>
      <c r="F709" s="32"/>
      <c r="K709" s="3"/>
      <c r="L709" s="3"/>
    </row>
    <row r="710" spans="1:12" ht="13" x14ac:dyDescent="0.15">
      <c r="A710" s="7"/>
      <c r="B710" s="31"/>
      <c r="C710" s="31"/>
      <c r="D710" s="31"/>
      <c r="E710" s="32"/>
      <c r="F710" s="32"/>
      <c r="K710" s="3"/>
      <c r="L710" s="3"/>
    </row>
    <row r="711" spans="1:12" ht="13" x14ac:dyDescent="0.15">
      <c r="A711" s="7"/>
      <c r="B711" s="31"/>
      <c r="C711" s="31"/>
      <c r="D711" s="31"/>
      <c r="E711" s="32"/>
      <c r="F711" s="32"/>
      <c r="K711" s="3"/>
      <c r="L711" s="3"/>
    </row>
    <row r="712" spans="1:12" ht="13" x14ac:dyDescent="0.15">
      <c r="A712" s="7"/>
      <c r="B712" s="31"/>
      <c r="C712" s="31"/>
      <c r="D712" s="31"/>
      <c r="E712" s="32"/>
      <c r="F712" s="32"/>
      <c r="K712" s="3"/>
      <c r="L712" s="3"/>
    </row>
    <row r="713" spans="1:12" ht="13" x14ac:dyDescent="0.15">
      <c r="A713" s="7"/>
      <c r="B713" s="31"/>
      <c r="C713" s="31"/>
      <c r="D713" s="31"/>
      <c r="E713" s="32"/>
      <c r="F713" s="32"/>
      <c r="K713" s="3"/>
      <c r="L713" s="3"/>
    </row>
    <row r="714" spans="1:12" ht="13" x14ac:dyDescent="0.15">
      <c r="A714" s="7"/>
      <c r="B714" s="31"/>
      <c r="C714" s="31"/>
      <c r="D714" s="31"/>
      <c r="E714" s="32"/>
      <c r="F714" s="32"/>
      <c r="K714" s="3"/>
      <c r="L714" s="3"/>
    </row>
    <row r="715" spans="1:12" ht="13" x14ac:dyDescent="0.15">
      <c r="A715" s="7"/>
      <c r="B715" s="31"/>
      <c r="C715" s="31"/>
      <c r="D715" s="31"/>
      <c r="E715" s="32"/>
      <c r="F715" s="32"/>
      <c r="K715" s="3"/>
      <c r="L715" s="3"/>
    </row>
    <row r="716" spans="1:12" ht="13" x14ac:dyDescent="0.15">
      <c r="A716" s="7"/>
      <c r="B716" s="31"/>
      <c r="C716" s="31"/>
      <c r="D716" s="31"/>
      <c r="E716" s="32"/>
      <c r="F716" s="32"/>
      <c r="K716" s="3"/>
      <c r="L716" s="3"/>
    </row>
    <row r="717" spans="1:12" ht="13" x14ac:dyDescent="0.15">
      <c r="A717" s="7"/>
      <c r="B717" s="31"/>
      <c r="C717" s="31"/>
      <c r="D717" s="31"/>
      <c r="E717" s="32"/>
      <c r="F717" s="32"/>
      <c r="K717" s="3"/>
      <c r="L717" s="3"/>
    </row>
    <row r="718" spans="1:12" ht="13" x14ac:dyDescent="0.15">
      <c r="A718" s="7"/>
      <c r="B718" s="31"/>
      <c r="C718" s="31"/>
      <c r="D718" s="31"/>
      <c r="E718" s="32"/>
      <c r="F718" s="32"/>
      <c r="K718" s="3"/>
      <c r="L718" s="3"/>
    </row>
    <row r="719" spans="1:12" ht="13" x14ac:dyDescent="0.15">
      <c r="A719" s="7"/>
      <c r="B719" s="31"/>
      <c r="C719" s="31"/>
      <c r="D719" s="31"/>
      <c r="E719" s="32"/>
      <c r="F719" s="32"/>
      <c r="K719" s="3"/>
      <c r="L719" s="3"/>
    </row>
    <row r="720" spans="1:12" ht="13" x14ac:dyDescent="0.15">
      <c r="A720" s="7"/>
      <c r="B720" s="31"/>
      <c r="C720" s="31"/>
      <c r="D720" s="31"/>
      <c r="E720" s="32"/>
      <c r="F720" s="32"/>
      <c r="K720" s="3"/>
      <c r="L720" s="3"/>
    </row>
    <row r="721" spans="1:12" ht="13" x14ac:dyDescent="0.15">
      <c r="A721" s="7"/>
      <c r="B721" s="31"/>
      <c r="C721" s="31"/>
      <c r="D721" s="31"/>
      <c r="E721" s="32"/>
      <c r="F721" s="32"/>
      <c r="K721" s="3"/>
      <c r="L721" s="3"/>
    </row>
    <row r="722" spans="1:12" ht="13" x14ac:dyDescent="0.15">
      <c r="A722" s="7"/>
      <c r="B722" s="31"/>
      <c r="C722" s="31"/>
      <c r="D722" s="31"/>
      <c r="E722" s="32"/>
      <c r="F722" s="32"/>
      <c r="K722" s="3"/>
      <c r="L722" s="3"/>
    </row>
    <row r="723" spans="1:12" ht="13" x14ac:dyDescent="0.15">
      <c r="A723" s="7"/>
      <c r="B723" s="31"/>
      <c r="C723" s="31"/>
      <c r="D723" s="31"/>
      <c r="E723" s="32"/>
      <c r="F723" s="32"/>
      <c r="K723" s="3"/>
      <c r="L723" s="3"/>
    </row>
    <row r="724" spans="1:12" ht="13" x14ac:dyDescent="0.15">
      <c r="A724" s="7"/>
      <c r="B724" s="31"/>
      <c r="C724" s="31"/>
      <c r="D724" s="31"/>
      <c r="E724" s="32"/>
      <c r="F724" s="32"/>
      <c r="K724" s="3"/>
      <c r="L724" s="3"/>
    </row>
    <row r="725" spans="1:12" ht="13" x14ac:dyDescent="0.15">
      <c r="A725" s="7"/>
      <c r="B725" s="31"/>
      <c r="C725" s="31"/>
      <c r="D725" s="31"/>
      <c r="E725" s="32"/>
      <c r="F725" s="32"/>
      <c r="K725" s="3"/>
      <c r="L725" s="3"/>
    </row>
    <row r="726" spans="1:12" ht="13" x14ac:dyDescent="0.15">
      <c r="A726" s="7"/>
      <c r="B726" s="31"/>
      <c r="C726" s="31"/>
      <c r="D726" s="31"/>
      <c r="E726" s="32"/>
      <c r="F726" s="32"/>
      <c r="K726" s="3"/>
      <c r="L726" s="3"/>
    </row>
    <row r="727" spans="1:12" ht="13" x14ac:dyDescent="0.15">
      <c r="A727" s="7"/>
      <c r="B727" s="31"/>
      <c r="C727" s="31"/>
      <c r="D727" s="31"/>
      <c r="E727" s="32"/>
      <c r="F727" s="32"/>
      <c r="K727" s="3"/>
      <c r="L727" s="3"/>
    </row>
    <row r="728" spans="1:12" ht="13" x14ac:dyDescent="0.15">
      <c r="A728" s="7"/>
      <c r="B728" s="31"/>
      <c r="C728" s="31"/>
      <c r="D728" s="31"/>
      <c r="E728" s="32"/>
      <c r="F728" s="32"/>
      <c r="K728" s="3"/>
      <c r="L728" s="3"/>
    </row>
    <row r="729" spans="1:12" ht="13" x14ac:dyDescent="0.15">
      <c r="A729" s="7"/>
      <c r="B729" s="31"/>
      <c r="C729" s="31"/>
      <c r="D729" s="31"/>
      <c r="E729" s="32"/>
      <c r="F729" s="32"/>
      <c r="K729" s="3"/>
      <c r="L729" s="3"/>
    </row>
    <row r="730" spans="1:12" ht="13" x14ac:dyDescent="0.15">
      <c r="A730" s="7"/>
      <c r="B730" s="31"/>
      <c r="C730" s="31"/>
      <c r="D730" s="31"/>
      <c r="E730" s="32"/>
      <c r="F730" s="32"/>
      <c r="K730" s="3"/>
      <c r="L730" s="3"/>
    </row>
    <row r="731" spans="1:12" ht="13" x14ac:dyDescent="0.15">
      <c r="A731" s="7"/>
      <c r="B731" s="31"/>
      <c r="C731" s="31"/>
      <c r="D731" s="31"/>
      <c r="E731" s="32"/>
      <c r="F731" s="32"/>
      <c r="K731" s="3"/>
      <c r="L731" s="3"/>
    </row>
    <row r="732" spans="1:12" ht="13" x14ac:dyDescent="0.15">
      <c r="A732" s="7"/>
      <c r="B732" s="31"/>
      <c r="C732" s="31"/>
      <c r="D732" s="31"/>
      <c r="E732" s="32"/>
      <c r="F732" s="32"/>
      <c r="K732" s="3"/>
      <c r="L732" s="3"/>
    </row>
    <row r="733" spans="1:12" ht="13" x14ac:dyDescent="0.15">
      <c r="A733" s="7"/>
      <c r="B733" s="31"/>
      <c r="C733" s="31"/>
      <c r="D733" s="31"/>
      <c r="E733" s="32"/>
      <c r="F733" s="32"/>
      <c r="K733" s="3"/>
      <c r="L733" s="3"/>
    </row>
    <row r="734" spans="1:12" ht="13" x14ac:dyDescent="0.15">
      <c r="A734" s="7"/>
      <c r="B734" s="31"/>
      <c r="C734" s="31"/>
      <c r="D734" s="31"/>
      <c r="E734" s="32"/>
      <c r="F734" s="32"/>
      <c r="K734" s="3"/>
      <c r="L734" s="3"/>
    </row>
    <row r="735" spans="1:12" ht="13" x14ac:dyDescent="0.15">
      <c r="A735" s="7"/>
      <c r="B735" s="31"/>
      <c r="C735" s="31"/>
      <c r="D735" s="31"/>
      <c r="E735" s="32"/>
      <c r="F735" s="32"/>
      <c r="K735" s="3"/>
      <c r="L735" s="3"/>
    </row>
    <row r="736" spans="1:12" ht="13" x14ac:dyDescent="0.15">
      <c r="A736" s="7"/>
      <c r="B736" s="31"/>
      <c r="C736" s="31"/>
      <c r="D736" s="31"/>
      <c r="E736" s="32"/>
      <c r="F736" s="32"/>
      <c r="K736" s="3"/>
      <c r="L736" s="3"/>
    </row>
    <row r="737" spans="1:12" ht="13" x14ac:dyDescent="0.15">
      <c r="A737" s="7"/>
      <c r="B737" s="31"/>
      <c r="C737" s="31"/>
      <c r="D737" s="31"/>
      <c r="E737" s="32"/>
      <c r="F737" s="32"/>
      <c r="K737" s="3"/>
      <c r="L737" s="3"/>
    </row>
    <row r="738" spans="1:12" ht="13" x14ac:dyDescent="0.15">
      <c r="A738" s="7"/>
      <c r="B738" s="31"/>
      <c r="C738" s="31"/>
      <c r="D738" s="31"/>
      <c r="E738" s="32"/>
      <c r="F738" s="32"/>
      <c r="K738" s="3"/>
      <c r="L738" s="3"/>
    </row>
    <row r="739" spans="1:12" ht="13" x14ac:dyDescent="0.15">
      <c r="A739" s="7"/>
      <c r="B739" s="31"/>
      <c r="C739" s="31"/>
      <c r="D739" s="31"/>
      <c r="E739" s="32"/>
      <c r="F739" s="32"/>
      <c r="K739" s="3"/>
      <c r="L739" s="3"/>
    </row>
    <row r="740" spans="1:12" ht="13" x14ac:dyDescent="0.15">
      <c r="A740" s="7"/>
      <c r="B740" s="31"/>
      <c r="C740" s="31"/>
      <c r="D740" s="31"/>
      <c r="E740" s="32"/>
      <c r="F740" s="32"/>
      <c r="K740" s="3"/>
      <c r="L740" s="3"/>
    </row>
    <row r="741" spans="1:12" ht="13" x14ac:dyDescent="0.15">
      <c r="A741" s="7"/>
      <c r="B741" s="31"/>
      <c r="C741" s="31"/>
      <c r="D741" s="31"/>
      <c r="E741" s="32"/>
      <c r="F741" s="32"/>
      <c r="K741" s="3"/>
      <c r="L741" s="3"/>
    </row>
    <row r="742" spans="1:12" ht="13" x14ac:dyDescent="0.15">
      <c r="A742" s="7"/>
      <c r="B742" s="31"/>
      <c r="C742" s="31"/>
      <c r="D742" s="31"/>
      <c r="E742" s="32"/>
      <c r="F742" s="32"/>
      <c r="K742" s="3"/>
      <c r="L742" s="3"/>
    </row>
    <row r="743" spans="1:12" ht="13" x14ac:dyDescent="0.15">
      <c r="A743" s="7"/>
      <c r="B743" s="31"/>
      <c r="C743" s="31"/>
      <c r="D743" s="31"/>
      <c r="E743" s="32"/>
      <c r="F743" s="32"/>
      <c r="K743" s="3"/>
      <c r="L743" s="3"/>
    </row>
    <row r="744" spans="1:12" ht="13" x14ac:dyDescent="0.15">
      <c r="A744" s="7"/>
      <c r="B744" s="31"/>
      <c r="C744" s="31"/>
      <c r="D744" s="31"/>
      <c r="E744" s="32"/>
      <c r="F744" s="32"/>
      <c r="K744" s="3"/>
      <c r="L744" s="3"/>
    </row>
    <row r="745" spans="1:12" ht="13" x14ac:dyDescent="0.15">
      <c r="A745" s="7"/>
      <c r="B745" s="31"/>
      <c r="C745" s="31"/>
      <c r="D745" s="31"/>
      <c r="E745" s="32"/>
      <c r="F745" s="32"/>
      <c r="K745" s="3"/>
      <c r="L745" s="3"/>
    </row>
    <row r="746" spans="1:12" ht="13" x14ac:dyDescent="0.15">
      <c r="A746" s="7"/>
      <c r="B746" s="31"/>
      <c r="C746" s="31"/>
      <c r="D746" s="31"/>
      <c r="E746" s="32"/>
      <c r="F746" s="32"/>
      <c r="K746" s="3"/>
      <c r="L746" s="3"/>
    </row>
    <row r="747" spans="1:12" ht="13" x14ac:dyDescent="0.15">
      <c r="A747" s="7"/>
      <c r="B747" s="31"/>
      <c r="C747" s="31"/>
      <c r="D747" s="31"/>
      <c r="E747" s="32"/>
      <c r="F747" s="32"/>
      <c r="K747" s="3"/>
      <c r="L747" s="3"/>
    </row>
    <row r="748" spans="1:12" ht="13" x14ac:dyDescent="0.15">
      <c r="A748" s="7"/>
      <c r="B748" s="31"/>
      <c r="C748" s="31"/>
      <c r="D748" s="31"/>
      <c r="E748" s="32"/>
      <c r="F748" s="32"/>
      <c r="K748" s="3"/>
      <c r="L748" s="3"/>
    </row>
    <row r="749" spans="1:12" ht="13" x14ac:dyDescent="0.15">
      <c r="A749" s="7"/>
      <c r="B749" s="31"/>
      <c r="C749" s="31"/>
      <c r="D749" s="31"/>
      <c r="E749" s="32"/>
      <c r="F749" s="32"/>
      <c r="K749" s="3"/>
      <c r="L749" s="3"/>
    </row>
    <row r="750" spans="1:12" ht="13" x14ac:dyDescent="0.15">
      <c r="A750" s="7"/>
      <c r="B750" s="31"/>
      <c r="C750" s="31"/>
      <c r="D750" s="31"/>
      <c r="E750" s="32"/>
      <c r="F750" s="32"/>
      <c r="K750" s="3"/>
      <c r="L750" s="3"/>
    </row>
    <row r="751" spans="1:12" ht="13" x14ac:dyDescent="0.15">
      <c r="A751" s="7"/>
      <c r="B751" s="31"/>
      <c r="C751" s="31"/>
      <c r="D751" s="31"/>
      <c r="E751" s="32"/>
      <c r="F751" s="32"/>
      <c r="K751" s="3"/>
      <c r="L751" s="3"/>
    </row>
    <row r="752" spans="1:12" ht="13" x14ac:dyDescent="0.15">
      <c r="A752" s="7"/>
      <c r="B752" s="31"/>
      <c r="C752" s="31"/>
      <c r="D752" s="31"/>
      <c r="E752" s="32"/>
      <c r="F752" s="32"/>
      <c r="K752" s="3"/>
      <c r="L752" s="3"/>
    </row>
    <row r="753" spans="1:12" ht="13" x14ac:dyDescent="0.15">
      <c r="A753" s="7"/>
      <c r="B753" s="31"/>
      <c r="C753" s="31"/>
      <c r="D753" s="31"/>
      <c r="E753" s="32"/>
      <c r="F753" s="32"/>
      <c r="K753" s="3"/>
      <c r="L753" s="3"/>
    </row>
    <row r="754" spans="1:12" ht="13" x14ac:dyDescent="0.15">
      <c r="A754" s="7"/>
      <c r="B754" s="31"/>
      <c r="C754" s="31"/>
      <c r="D754" s="31"/>
      <c r="E754" s="32"/>
      <c r="F754" s="32"/>
      <c r="K754" s="3"/>
      <c r="L754" s="3"/>
    </row>
    <row r="755" spans="1:12" ht="13" x14ac:dyDescent="0.15">
      <c r="A755" s="7"/>
      <c r="B755" s="31"/>
      <c r="C755" s="31"/>
      <c r="D755" s="31"/>
      <c r="E755" s="32"/>
      <c r="F755" s="32"/>
      <c r="K755" s="3"/>
      <c r="L755" s="3"/>
    </row>
    <row r="756" spans="1:12" ht="13" x14ac:dyDescent="0.15">
      <c r="A756" s="7"/>
      <c r="B756" s="31"/>
      <c r="C756" s="31"/>
      <c r="D756" s="31"/>
      <c r="E756" s="32"/>
      <c r="F756" s="32"/>
      <c r="K756" s="3"/>
      <c r="L756" s="3"/>
    </row>
    <row r="757" spans="1:12" ht="13" x14ac:dyDescent="0.15">
      <c r="A757" s="7"/>
      <c r="B757" s="31"/>
      <c r="C757" s="31"/>
      <c r="D757" s="31"/>
      <c r="E757" s="32"/>
      <c r="F757" s="32"/>
      <c r="K757" s="3"/>
      <c r="L757" s="3"/>
    </row>
    <row r="758" spans="1:12" ht="13" x14ac:dyDescent="0.15">
      <c r="A758" s="7"/>
      <c r="B758" s="31"/>
      <c r="C758" s="31"/>
      <c r="D758" s="31"/>
      <c r="E758" s="32"/>
      <c r="F758" s="32"/>
      <c r="K758" s="3"/>
      <c r="L758" s="3"/>
    </row>
    <row r="759" spans="1:12" ht="13" x14ac:dyDescent="0.15">
      <c r="A759" s="7"/>
      <c r="B759" s="31"/>
      <c r="C759" s="31"/>
      <c r="D759" s="31"/>
      <c r="E759" s="32"/>
      <c r="F759" s="32"/>
      <c r="K759" s="3"/>
      <c r="L759" s="3"/>
    </row>
    <row r="760" spans="1:12" ht="13" x14ac:dyDescent="0.15">
      <c r="A760" s="7"/>
      <c r="B760" s="31"/>
      <c r="C760" s="31"/>
      <c r="D760" s="31"/>
      <c r="E760" s="32"/>
      <c r="F760" s="32"/>
      <c r="K760" s="3"/>
      <c r="L760" s="3"/>
    </row>
    <row r="761" spans="1:12" ht="13" x14ac:dyDescent="0.15">
      <c r="A761" s="7"/>
      <c r="B761" s="31"/>
      <c r="C761" s="31"/>
      <c r="D761" s="31"/>
      <c r="E761" s="32"/>
      <c r="F761" s="32"/>
      <c r="K761" s="3"/>
      <c r="L761" s="3"/>
    </row>
    <row r="762" spans="1:12" ht="13" x14ac:dyDescent="0.15">
      <c r="A762" s="7"/>
      <c r="B762" s="31"/>
      <c r="C762" s="31"/>
      <c r="D762" s="31"/>
      <c r="E762" s="32"/>
      <c r="F762" s="32"/>
      <c r="K762" s="3"/>
      <c r="L762" s="3"/>
    </row>
    <row r="763" spans="1:12" ht="13" x14ac:dyDescent="0.15">
      <c r="A763" s="7"/>
      <c r="B763" s="31"/>
      <c r="C763" s="31"/>
      <c r="D763" s="31"/>
      <c r="E763" s="32"/>
      <c r="F763" s="32"/>
      <c r="K763" s="3"/>
      <c r="L763" s="3"/>
    </row>
    <row r="764" spans="1:12" ht="13" x14ac:dyDescent="0.15">
      <c r="A764" s="7"/>
      <c r="B764" s="31"/>
      <c r="C764" s="31"/>
      <c r="D764" s="31"/>
      <c r="E764" s="32"/>
      <c r="F764" s="32"/>
      <c r="K764" s="3"/>
      <c r="L764" s="3"/>
    </row>
    <row r="765" spans="1:12" ht="13" x14ac:dyDescent="0.15">
      <c r="A765" s="7"/>
      <c r="B765" s="31"/>
      <c r="C765" s="31"/>
      <c r="D765" s="31"/>
      <c r="E765" s="32"/>
      <c r="F765" s="32"/>
      <c r="K765" s="3"/>
      <c r="L765" s="3"/>
    </row>
    <row r="766" spans="1:12" ht="13" x14ac:dyDescent="0.15">
      <c r="A766" s="7"/>
      <c r="B766" s="31"/>
      <c r="C766" s="31"/>
      <c r="D766" s="31"/>
      <c r="E766" s="32"/>
      <c r="F766" s="32"/>
      <c r="K766" s="3"/>
      <c r="L766" s="3"/>
    </row>
    <row r="767" spans="1:12" ht="13" x14ac:dyDescent="0.15">
      <c r="A767" s="7"/>
      <c r="B767" s="31"/>
      <c r="C767" s="31"/>
      <c r="D767" s="31"/>
      <c r="E767" s="32"/>
      <c r="F767" s="32"/>
      <c r="K767" s="3"/>
      <c r="L767" s="3"/>
    </row>
    <row r="768" spans="1:12" ht="13" x14ac:dyDescent="0.15">
      <c r="A768" s="7"/>
      <c r="B768" s="31"/>
      <c r="C768" s="31"/>
      <c r="D768" s="31"/>
      <c r="E768" s="32"/>
      <c r="F768" s="32"/>
      <c r="K768" s="3"/>
      <c r="L768" s="3"/>
    </row>
    <row r="769" spans="1:12" ht="13" x14ac:dyDescent="0.15">
      <c r="A769" s="7"/>
      <c r="B769" s="31"/>
      <c r="C769" s="31"/>
      <c r="D769" s="31"/>
      <c r="E769" s="32"/>
      <c r="F769" s="32"/>
      <c r="K769" s="3"/>
      <c r="L769" s="3"/>
    </row>
    <row r="770" spans="1:12" ht="13" x14ac:dyDescent="0.15">
      <c r="A770" s="7"/>
      <c r="B770" s="31"/>
      <c r="C770" s="31"/>
      <c r="D770" s="31"/>
      <c r="E770" s="32"/>
      <c r="F770" s="32"/>
      <c r="K770" s="3"/>
      <c r="L770" s="3"/>
    </row>
    <row r="771" spans="1:12" ht="13" x14ac:dyDescent="0.15">
      <c r="A771" s="7"/>
      <c r="B771" s="31"/>
      <c r="C771" s="31"/>
      <c r="D771" s="31"/>
      <c r="E771" s="32"/>
      <c r="F771" s="32"/>
      <c r="K771" s="3"/>
      <c r="L771" s="3"/>
    </row>
    <row r="772" spans="1:12" ht="13" x14ac:dyDescent="0.15">
      <c r="A772" s="7"/>
      <c r="B772" s="31"/>
      <c r="C772" s="31"/>
      <c r="D772" s="31"/>
      <c r="E772" s="32"/>
      <c r="F772" s="32"/>
      <c r="K772" s="3"/>
      <c r="L772" s="3"/>
    </row>
    <row r="773" spans="1:12" ht="13" x14ac:dyDescent="0.15">
      <c r="A773" s="7"/>
      <c r="B773" s="31"/>
      <c r="C773" s="31"/>
      <c r="D773" s="31"/>
      <c r="E773" s="32"/>
      <c r="F773" s="32"/>
      <c r="K773" s="3"/>
      <c r="L773" s="3"/>
    </row>
    <row r="774" spans="1:12" ht="13" x14ac:dyDescent="0.15">
      <c r="A774" s="7"/>
      <c r="B774" s="31"/>
      <c r="C774" s="31"/>
      <c r="D774" s="31"/>
      <c r="E774" s="32"/>
      <c r="F774" s="32"/>
      <c r="K774" s="3"/>
      <c r="L774" s="3"/>
    </row>
    <row r="775" spans="1:12" ht="13" x14ac:dyDescent="0.15">
      <c r="A775" s="7"/>
      <c r="B775" s="31"/>
      <c r="C775" s="31"/>
      <c r="D775" s="31"/>
      <c r="E775" s="32"/>
      <c r="F775" s="32"/>
      <c r="K775" s="3"/>
      <c r="L775" s="3"/>
    </row>
    <row r="776" spans="1:12" ht="13" x14ac:dyDescent="0.15">
      <c r="A776" s="7"/>
      <c r="B776" s="31"/>
      <c r="C776" s="31"/>
      <c r="D776" s="31"/>
      <c r="E776" s="32"/>
      <c r="F776" s="32"/>
      <c r="K776" s="3"/>
      <c r="L776" s="3"/>
    </row>
    <row r="777" spans="1:12" ht="13" x14ac:dyDescent="0.15">
      <c r="A777" s="7"/>
      <c r="B777" s="31"/>
      <c r="C777" s="31"/>
      <c r="D777" s="31"/>
      <c r="E777" s="32"/>
      <c r="F777" s="32"/>
      <c r="K777" s="3"/>
      <c r="L777" s="3"/>
    </row>
    <row r="778" spans="1:12" ht="13" x14ac:dyDescent="0.15">
      <c r="A778" s="7"/>
      <c r="B778" s="31"/>
      <c r="C778" s="31"/>
      <c r="D778" s="31"/>
      <c r="E778" s="32"/>
      <c r="F778" s="32"/>
      <c r="K778" s="3"/>
      <c r="L778" s="3"/>
    </row>
    <row r="779" spans="1:12" ht="13" x14ac:dyDescent="0.15">
      <c r="A779" s="7"/>
      <c r="B779" s="31"/>
      <c r="C779" s="31"/>
      <c r="D779" s="31"/>
      <c r="E779" s="32"/>
      <c r="F779" s="32"/>
      <c r="K779" s="3"/>
      <c r="L779" s="3"/>
    </row>
    <row r="780" spans="1:12" ht="13" x14ac:dyDescent="0.15">
      <c r="A780" s="7"/>
      <c r="B780" s="31"/>
      <c r="C780" s="31"/>
      <c r="D780" s="31"/>
      <c r="E780" s="32"/>
      <c r="F780" s="32"/>
      <c r="K780" s="3"/>
      <c r="L780" s="3"/>
    </row>
    <row r="781" spans="1:12" ht="13" x14ac:dyDescent="0.15">
      <c r="A781" s="7"/>
      <c r="B781" s="31"/>
      <c r="C781" s="31"/>
      <c r="D781" s="31"/>
      <c r="E781" s="32"/>
      <c r="F781" s="32"/>
      <c r="K781" s="3"/>
      <c r="L781" s="3"/>
    </row>
    <row r="782" spans="1:12" ht="13" x14ac:dyDescent="0.15">
      <c r="A782" s="7"/>
      <c r="B782" s="31"/>
      <c r="C782" s="31"/>
      <c r="D782" s="31"/>
      <c r="E782" s="32"/>
      <c r="F782" s="32"/>
      <c r="K782" s="3"/>
      <c r="L782" s="3"/>
    </row>
    <row r="783" spans="1:12" ht="13" x14ac:dyDescent="0.15">
      <c r="A783" s="7"/>
      <c r="B783" s="31"/>
      <c r="C783" s="31"/>
      <c r="D783" s="31"/>
      <c r="E783" s="32"/>
      <c r="F783" s="32"/>
      <c r="K783" s="3"/>
      <c r="L783" s="3"/>
    </row>
    <row r="784" spans="1:12" ht="13" x14ac:dyDescent="0.15">
      <c r="A784" s="7"/>
      <c r="B784" s="31"/>
      <c r="C784" s="31"/>
      <c r="D784" s="31"/>
      <c r="E784" s="32"/>
      <c r="F784" s="32"/>
      <c r="K784" s="3"/>
      <c r="L784" s="3"/>
    </row>
    <row r="785" spans="1:12" ht="13" x14ac:dyDescent="0.15">
      <c r="A785" s="7"/>
      <c r="B785" s="31"/>
      <c r="C785" s="31"/>
      <c r="D785" s="31"/>
      <c r="E785" s="32"/>
      <c r="F785" s="32"/>
      <c r="K785" s="3"/>
      <c r="L785" s="3"/>
    </row>
    <row r="786" spans="1:12" ht="13" x14ac:dyDescent="0.15">
      <c r="A786" s="7"/>
      <c r="B786" s="31"/>
      <c r="C786" s="31"/>
      <c r="D786" s="31"/>
      <c r="E786" s="32"/>
      <c r="F786" s="32"/>
      <c r="K786" s="3"/>
      <c r="L786" s="3"/>
    </row>
    <row r="787" spans="1:12" ht="13" x14ac:dyDescent="0.15">
      <c r="A787" s="7"/>
      <c r="B787" s="31"/>
      <c r="C787" s="31"/>
      <c r="D787" s="31"/>
      <c r="E787" s="32"/>
      <c r="F787" s="32"/>
      <c r="K787" s="3"/>
      <c r="L787" s="3"/>
    </row>
    <row r="788" spans="1:12" ht="13" x14ac:dyDescent="0.15">
      <c r="A788" s="7"/>
      <c r="B788" s="31"/>
      <c r="C788" s="31"/>
      <c r="D788" s="31"/>
      <c r="E788" s="32"/>
      <c r="F788" s="32"/>
      <c r="K788" s="3"/>
      <c r="L788" s="3"/>
    </row>
    <row r="789" spans="1:12" ht="13" x14ac:dyDescent="0.15">
      <c r="A789" s="7"/>
      <c r="B789" s="31"/>
      <c r="C789" s="31"/>
      <c r="D789" s="31"/>
      <c r="E789" s="32"/>
      <c r="F789" s="32"/>
      <c r="K789" s="3"/>
      <c r="L789" s="3"/>
    </row>
    <row r="790" spans="1:12" ht="13" x14ac:dyDescent="0.15">
      <c r="A790" s="7"/>
      <c r="B790" s="31"/>
      <c r="C790" s="31"/>
      <c r="D790" s="31"/>
      <c r="E790" s="32"/>
      <c r="F790" s="32"/>
      <c r="K790" s="3"/>
      <c r="L790" s="3"/>
    </row>
    <row r="791" spans="1:12" ht="13" x14ac:dyDescent="0.15">
      <c r="A791" s="7"/>
      <c r="B791" s="31"/>
      <c r="C791" s="31"/>
      <c r="D791" s="31"/>
      <c r="E791" s="32"/>
      <c r="F791" s="32"/>
      <c r="K791" s="3"/>
      <c r="L791" s="3"/>
    </row>
    <row r="792" spans="1:12" ht="13" x14ac:dyDescent="0.15">
      <c r="A792" s="7"/>
      <c r="B792" s="31"/>
      <c r="C792" s="31"/>
      <c r="D792" s="31"/>
      <c r="E792" s="32"/>
      <c r="F792" s="32"/>
      <c r="K792" s="3"/>
      <c r="L792" s="3"/>
    </row>
    <row r="793" spans="1:12" ht="13" x14ac:dyDescent="0.15">
      <c r="A793" s="7"/>
      <c r="B793" s="31"/>
      <c r="C793" s="31"/>
      <c r="D793" s="31"/>
      <c r="E793" s="32"/>
      <c r="F793" s="32"/>
      <c r="K793" s="3"/>
      <c r="L793" s="3"/>
    </row>
    <row r="794" spans="1:12" ht="13" x14ac:dyDescent="0.15">
      <c r="A794" s="7"/>
      <c r="B794" s="31"/>
      <c r="C794" s="31"/>
      <c r="D794" s="31"/>
      <c r="E794" s="32"/>
      <c r="F794" s="32"/>
      <c r="K794" s="3"/>
      <c r="L794" s="3"/>
    </row>
    <row r="795" spans="1:12" ht="13" x14ac:dyDescent="0.15">
      <c r="A795" s="7"/>
      <c r="B795" s="31"/>
      <c r="C795" s="31"/>
      <c r="D795" s="31"/>
      <c r="E795" s="32"/>
      <c r="F795" s="32"/>
      <c r="K795" s="3"/>
      <c r="L795" s="3"/>
    </row>
    <row r="796" spans="1:12" ht="13" x14ac:dyDescent="0.15">
      <c r="A796" s="7"/>
      <c r="B796" s="31"/>
      <c r="C796" s="31"/>
      <c r="D796" s="31"/>
      <c r="E796" s="32"/>
      <c r="F796" s="32"/>
      <c r="K796" s="3"/>
      <c r="L796" s="3"/>
    </row>
    <row r="797" spans="1:12" ht="13" x14ac:dyDescent="0.15">
      <c r="A797" s="7"/>
      <c r="B797" s="31"/>
      <c r="C797" s="31"/>
      <c r="D797" s="31"/>
      <c r="E797" s="32"/>
      <c r="F797" s="32"/>
      <c r="K797" s="3"/>
      <c r="L797" s="3"/>
    </row>
    <row r="798" spans="1:12" ht="13" x14ac:dyDescent="0.15">
      <c r="A798" s="7"/>
      <c r="B798" s="31"/>
      <c r="C798" s="31"/>
      <c r="D798" s="31"/>
      <c r="E798" s="32"/>
      <c r="F798" s="32"/>
      <c r="K798" s="3"/>
      <c r="L798" s="3"/>
    </row>
    <row r="799" spans="1:12" ht="13" x14ac:dyDescent="0.15">
      <c r="A799" s="7"/>
      <c r="B799" s="31"/>
      <c r="C799" s="31"/>
      <c r="D799" s="31"/>
      <c r="E799" s="32"/>
      <c r="F799" s="32"/>
      <c r="K799" s="3"/>
      <c r="L799" s="3"/>
    </row>
    <row r="800" spans="1:12" ht="13" x14ac:dyDescent="0.15">
      <c r="A800" s="7"/>
      <c r="B800" s="31"/>
      <c r="C800" s="31"/>
      <c r="D800" s="31"/>
      <c r="E800" s="32"/>
      <c r="F800" s="32"/>
      <c r="K800" s="3"/>
      <c r="L800" s="3"/>
    </row>
    <row r="801" spans="1:12" ht="13" x14ac:dyDescent="0.15">
      <c r="A801" s="7"/>
      <c r="B801" s="31"/>
      <c r="C801" s="31"/>
      <c r="D801" s="31"/>
      <c r="E801" s="32"/>
      <c r="F801" s="32"/>
      <c r="K801" s="3"/>
      <c r="L801" s="3"/>
    </row>
    <row r="802" spans="1:12" ht="13" x14ac:dyDescent="0.15">
      <c r="A802" s="7"/>
      <c r="B802" s="31"/>
      <c r="C802" s="31"/>
      <c r="D802" s="31"/>
      <c r="E802" s="32"/>
      <c r="F802" s="32"/>
      <c r="K802" s="3"/>
      <c r="L802" s="3"/>
    </row>
    <row r="803" spans="1:12" ht="13" x14ac:dyDescent="0.15">
      <c r="A803" s="7"/>
      <c r="B803" s="31"/>
      <c r="C803" s="31"/>
      <c r="D803" s="31"/>
      <c r="E803" s="32"/>
      <c r="F803" s="32"/>
      <c r="K803" s="3"/>
      <c r="L803" s="3"/>
    </row>
    <row r="804" spans="1:12" ht="13" x14ac:dyDescent="0.15">
      <c r="A804" s="7"/>
      <c r="B804" s="31"/>
      <c r="C804" s="31"/>
      <c r="D804" s="31"/>
      <c r="E804" s="32"/>
      <c r="F804" s="32"/>
      <c r="K804" s="3"/>
      <c r="L804" s="3"/>
    </row>
    <row r="805" spans="1:12" ht="13" x14ac:dyDescent="0.15">
      <c r="A805" s="7"/>
      <c r="B805" s="31"/>
      <c r="C805" s="31"/>
      <c r="D805" s="31"/>
      <c r="E805" s="32"/>
      <c r="F805" s="32"/>
      <c r="K805" s="3"/>
      <c r="L805" s="3"/>
    </row>
    <row r="806" spans="1:12" ht="13" x14ac:dyDescent="0.15">
      <c r="A806" s="7"/>
      <c r="B806" s="31"/>
      <c r="C806" s="31"/>
      <c r="D806" s="31"/>
      <c r="E806" s="32"/>
      <c r="F806" s="32"/>
      <c r="K806" s="3"/>
      <c r="L806" s="3"/>
    </row>
    <row r="807" spans="1:12" ht="13" x14ac:dyDescent="0.15">
      <c r="A807" s="7"/>
      <c r="B807" s="31"/>
      <c r="C807" s="31"/>
      <c r="D807" s="31"/>
      <c r="E807" s="32"/>
      <c r="F807" s="32"/>
      <c r="K807" s="3"/>
      <c r="L807" s="3"/>
    </row>
    <row r="808" spans="1:12" ht="13" x14ac:dyDescent="0.15">
      <c r="A808" s="7"/>
      <c r="B808" s="31"/>
      <c r="C808" s="31"/>
      <c r="D808" s="31"/>
      <c r="E808" s="32"/>
      <c r="F808" s="32"/>
      <c r="K808" s="3"/>
      <c r="L808" s="3"/>
    </row>
    <row r="809" spans="1:12" ht="13" x14ac:dyDescent="0.15">
      <c r="A809" s="7"/>
      <c r="B809" s="31"/>
      <c r="C809" s="31"/>
      <c r="D809" s="31"/>
      <c r="E809" s="32"/>
      <c r="F809" s="32"/>
      <c r="K809" s="3"/>
      <c r="L809" s="3"/>
    </row>
    <row r="810" spans="1:12" ht="13" x14ac:dyDescent="0.15">
      <c r="A810" s="7"/>
      <c r="B810" s="31"/>
      <c r="C810" s="31"/>
      <c r="D810" s="31"/>
      <c r="E810" s="32"/>
      <c r="F810" s="32"/>
      <c r="K810" s="3"/>
      <c r="L810" s="3"/>
    </row>
    <row r="811" spans="1:12" ht="13" x14ac:dyDescent="0.15">
      <c r="A811" s="7"/>
      <c r="B811" s="31"/>
      <c r="C811" s="31"/>
      <c r="D811" s="31"/>
      <c r="E811" s="32"/>
      <c r="F811" s="32"/>
      <c r="K811" s="3"/>
      <c r="L811" s="3"/>
    </row>
    <row r="812" spans="1:12" ht="13" x14ac:dyDescent="0.15">
      <c r="A812" s="7"/>
      <c r="B812" s="31"/>
      <c r="C812" s="31"/>
      <c r="D812" s="31"/>
      <c r="E812" s="32"/>
      <c r="F812" s="32"/>
      <c r="K812" s="3"/>
      <c r="L812" s="3"/>
    </row>
    <row r="813" spans="1:12" ht="13" x14ac:dyDescent="0.15">
      <c r="A813" s="7"/>
      <c r="B813" s="31"/>
      <c r="C813" s="31"/>
      <c r="D813" s="31"/>
      <c r="E813" s="32"/>
      <c r="F813" s="32"/>
      <c r="K813" s="3"/>
      <c r="L813" s="3"/>
    </row>
    <row r="814" spans="1:12" ht="13" x14ac:dyDescent="0.15">
      <c r="A814" s="7"/>
      <c r="B814" s="31"/>
      <c r="C814" s="31"/>
      <c r="D814" s="31"/>
      <c r="E814" s="32"/>
      <c r="F814" s="32"/>
      <c r="K814" s="3"/>
      <c r="L814" s="3"/>
    </row>
    <row r="815" spans="1:12" ht="13" x14ac:dyDescent="0.15">
      <c r="A815" s="7"/>
      <c r="B815" s="31"/>
      <c r="C815" s="31"/>
      <c r="D815" s="31"/>
      <c r="E815" s="32"/>
      <c r="F815" s="32"/>
      <c r="K815" s="3"/>
      <c r="L815" s="3"/>
    </row>
    <row r="816" spans="1:12" ht="13" x14ac:dyDescent="0.15">
      <c r="A816" s="7"/>
      <c r="B816" s="31"/>
      <c r="C816" s="31"/>
      <c r="D816" s="31"/>
      <c r="E816" s="32"/>
      <c r="F816" s="32"/>
      <c r="K816" s="3"/>
      <c r="L816" s="3"/>
    </row>
    <row r="817" spans="1:12" ht="13" x14ac:dyDescent="0.15">
      <c r="A817" s="7"/>
      <c r="B817" s="31"/>
      <c r="C817" s="31"/>
      <c r="D817" s="31"/>
      <c r="E817" s="32"/>
      <c r="F817" s="32"/>
      <c r="K817" s="3"/>
      <c r="L817" s="3"/>
    </row>
    <row r="818" spans="1:12" ht="13" x14ac:dyDescent="0.15">
      <c r="A818" s="7"/>
      <c r="B818" s="31"/>
      <c r="C818" s="31"/>
      <c r="D818" s="31"/>
      <c r="E818" s="32"/>
      <c r="F818" s="32"/>
      <c r="K818" s="3"/>
      <c r="L818" s="3"/>
    </row>
    <row r="819" spans="1:12" ht="13" x14ac:dyDescent="0.15">
      <c r="A819" s="7"/>
      <c r="B819" s="31"/>
      <c r="C819" s="31"/>
      <c r="D819" s="31"/>
      <c r="E819" s="32"/>
      <c r="F819" s="32"/>
      <c r="K819" s="3"/>
      <c r="L819" s="3"/>
    </row>
    <row r="820" spans="1:12" ht="13" x14ac:dyDescent="0.15">
      <c r="A820" s="7"/>
      <c r="B820" s="31"/>
      <c r="C820" s="31"/>
      <c r="D820" s="31"/>
      <c r="E820" s="32"/>
      <c r="F820" s="32"/>
      <c r="K820" s="3"/>
      <c r="L820" s="3"/>
    </row>
    <row r="821" spans="1:12" ht="13" x14ac:dyDescent="0.15">
      <c r="A821" s="7"/>
      <c r="B821" s="31"/>
      <c r="C821" s="31"/>
      <c r="D821" s="31"/>
      <c r="E821" s="32"/>
      <c r="F821" s="32"/>
      <c r="K821" s="3"/>
      <c r="L821" s="3"/>
    </row>
    <row r="822" spans="1:12" ht="13" x14ac:dyDescent="0.15">
      <c r="A822" s="7"/>
      <c r="B822" s="31"/>
      <c r="C822" s="31"/>
      <c r="D822" s="31"/>
      <c r="E822" s="32"/>
      <c r="F822" s="32"/>
      <c r="K822" s="3"/>
      <c r="L822" s="3"/>
    </row>
    <row r="823" spans="1:12" ht="13" x14ac:dyDescent="0.15">
      <c r="A823" s="7"/>
      <c r="B823" s="31"/>
      <c r="C823" s="31"/>
      <c r="D823" s="31"/>
      <c r="E823" s="32"/>
      <c r="F823" s="32"/>
      <c r="K823" s="3"/>
      <c r="L823" s="3"/>
    </row>
    <row r="824" spans="1:12" ht="13" x14ac:dyDescent="0.15">
      <c r="A824" s="7"/>
      <c r="B824" s="31"/>
      <c r="C824" s="31"/>
      <c r="D824" s="31"/>
      <c r="E824" s="32"/>
      <c r="F824" s="32"/>
      <c r="K824" s="3"/>
      <c r="L824" s="3"/>
    </row>
    <row r="825" spans="1:12" ht="13" x14ac:dyDescent="0.15">
      <c r="A825" s="7"/>
      <c r="B825" s="31"/>
      <c r="C825" s="31"/>
      <c r="D825" s="31"/>
      <c r="E825" s="32"/>
      <c r="F825" s="32"/>
      <c r="K825" s="3"/>
      <c r="L825" s="3"/>
    </row>
    <row r="826" spans="1:12" ht="13" x14ac:dyDescent="0.15">
      <c r="A826" s="7"/>
      <c r="B826" s="31"/>
      <c r="C826" s="31"/>
      <c r="D826" s="31"/>
      <c r="E826" s="32"/>
      <c r="F826" s="32"/>
      <c r="K826" s="3"/>
      <c r="L826" s="3"/>
    </row>
    <row r="827" spans="1:12" ht="13" x14ac:dyDescent="0.15">
      <c r="A827" s="7"/>
      <c r="B827" s="31"/>
      <c r="C827" s="31"/>
      <c r="D827" s="31"/>
      <c r="E827" s="32"/>
      <c r="F827" s="32"/>
      <c r="K827" s="3"/>
      <c r="L827" s="3"/>
    </row>
    <row r="828" spans="1:12" ht="13" x14ac:dyDescent="0.15">
      <c r="A828" s="7"/>
      <c r="B828" s="31"/>
      <c r="C828" s="31"/>
      <c r="D828" s="31"/>
      <c r="E828" s="32"/>
      <c r="F828" s="32"/>
      <c r="K828" s="3"/>
      <c r="L828" s="3"/>
    </row>
    <row r="829" spans="1:12" ht="13" x14ac:dyDescent="0.15">
      <c r="A829" s="7"/>
      <c r="B829" s="31"/>
      <c r="C829" s="31"/>
      <c r="D829" s="31"/>
      <c r="E829" s="32"/>
      <c r="F829" s="32"/>
      <c r="K829" s="3"/>
      <c r="L829" s="3"/>
    </row>
    <row r="830" spans="1:12" ht="13" x14ac:dyDescent="0.15">
      <c r="A830" s="7"/>
      <c r="B830" s="31"/>
      <c r="C830" s="31"/>
      <c r="D830" s="31"/>
      <c r="E830" s="32"/>
      <c r="F830" s="32"/>
      <c r="K830" s="3"/>
      <c r="L830" s="3"/>
    </row>
    <row r="831" spans="1:12" ht="13" x14ac:dyDescent="0.15">
      <c r="A831" s="7"/>
      <c r="B831" s="31"/>
      <c r="C831" s="31"/>
      <c r="D831" s="31"/>
      <c r="E831" s="32"/>
      <c r="F831" s="32"/>
      <c r="K831" s="3"/>
      <c r="L831" s="3"/>
    </row>
    <row r="832" spans="1:12" ht="13" x14ac:dyDescent="0.15">
      <c r="A832" s="7"/>
      <c r="B832" s="31"/>
      <c r="C832" s="31"/>
      <c r="D832" s="31"/>
      <c r="E832" s="32"/>
      <c r="F832" s="32"/>
      <c r="K832" s="3"/>
      <c r="L832" s="3"/>
    </row>
    <row r="833" spans="1:12" ht="13" x14ac:dyDescent="0.15">
      <c r="A833" s="7"/>
      <c r="B833" s="31"/>
      <c r="C833" s="31"/>
      <c r="D833" s="31"/>
      <c r="E833" s="32"/>
      <c r="F833" s="32"/>
      <c r="K833" s="3"/>
      <c r="L833" s="3"/>
    </row>
    <row r="834" spans="1:12" ht="13" x14ac:dyDescent="0.15">
      <c r="A834" s="7"/>
      <c r="B834" s="31"/>
      <c r="C834" s="31"/>
      <c r="D834" s="31"/>
      <c r="E834" s="32"/>
      <c r="F834" s="32"/>
      <c r="K834" s="3"/>
      <c r="L834" s="3"/>
    </row>
    <row r="835" spans="1:12" ht="13" x14ac:dyDescent="0.15">
      <c r="A835" s="7"/>
      <c r="B835" s="31"/>
      <c r="C835" s="31"/>
      <c r="D835" s="31"/>
      <c r="E835" s="32"/>
      <c r="F835" s="32"/>
      <c r="K835" s="3"/>
      <c r="L835" s="3"/>
    </row>
    <row r="836" spans="1:12" ht="13" x14ac:dyDescent="0.15">
      <c r="A836" s="7"/>
      <c r="B836" s="31"/>
      <c r="C836" s="31"/>
      <c r="D836" s="31"/>
      <c r="E836" s="32"/>
      <c r="F836" s="32"/>
      <c r="K836" s="3"/>
      <c r="L836" s="3"/>
    </row>
    <row r="837" spans="1:12" ht="13" x14ac:dyDescent="0.15">
      <c r="A837" s="7"/>
      <c r="B837" s="31"/>
      <c r="C837" s="31"/>
      <c r="D837" s="31"/>
      <c r="E837" s="32"/>
      <c r="F837" s="32"/>
      <c r="K837" s="3"/>
      <c r="L837" s="3"/>
    </row>
    <row r="838" spans="1:12" ht="13" x14ac:dyDescent="0.15">
      <c r="A838" s="7"/>
      <c r="B838" s="31"/>
      <c r="C838" s="31"/>
      <c r="D838" s="31"/>
      <c r="E838" s="32"/>
      <c r="F838" s="32"/>
      <c r="K838" s="3"/>
      <c r="L838" s="3"/>
    </row>
    <row r="839" spans="1:12" ht="13" x14ac:dyDescent="0.15">
      <c r="A839" s="7"/>
      <c r="B839" s="31"/>
      <c r="C839" s="31"/>
      <c r="D839" s="31"/>
      <c r="E839" s="32"/>
      <c r="F839" s="32"/>
      <c r="K839" s="3"/>
      <c r="L839" s="3"/>
    </row>
    <row r="840" spans="1:12" ht="13" x14ac:dyDescent="0.15">
      <c r="A840" s="7"/>
      <c r="B840" s="31"/>
      <c r="C840" s="31"/>
      <c r="D840" s="31"/>
      <c r="E840" s="32"/>
      <c r="F840" s="32"/>
      <c r="K840" s="3"/>
      <c r="L840" s="3"/>
    </row>
    <row r="841" spans="1:12" ht="13" x14ac:dyDescent="0.15">
      <c r="A841" s="7"/>
      <c r="B841" s="31"/>
      <c r="C841" s="31"/>
      <c r="D841" s="31"/>
      <c r="E841" s="32"/>
      <c r="F841" s="32"/>
      <c r="K841" s="3"/>
      <c r="L841" s="3"/>
    </row>
    <row r="842" spans="1:12" ht="13" x14ac:dyDescent="0.15">
      <c r="A842" s="7"/>
      <c r="B842" s="31"/>
      <c r="C842" s="31"/>
      <c r="D842" s="31"/>
      <c r="E842" s="32"/>
      <c r="F842" s="32"/>
      <c r="K842" s="3"/>
      <c r="L842" s="3"/>
    </row>
    <row r="843" spans="1:12" ht="13" x14ac:dyDescent="0.15">
      <c r="A843" s="7"/>
      <c r="B843" s="31"/>
      <c r="C843" s="31"/>
      <c r="D843" s="31"/>
      <c r="E843" s="32"/>
      <c r="F843" s="32"/>
      <c r="K843" s="3"/>
      <c r="L843" s="3"/>
    </row>
    <row r="844" spans="1:12" ht="13" x14ac:dyDescent="0.15">
      <c r="A844" s="7"/>
      <c r="B844" s="31"/>
      <c r="C844" s="31"/>
      <c r="D844" s="31"/>
      <c r="E844" s="32"/>
      <c r="F844" s="32"/>
      <c r="K844" s="3"/>
      <c r="L844" s="3"/>
    </row>
    <row r="845" spans="1:12" ht="13" x14ac:dyDescent="0.15">
      <c r="A845" s="7"/>
      <c r="B845" s="31"/>
      <c r="C845" s="31"/>
      <c r="D845" s="31"/>
      <c r="E845" s="32"/>
      <c r="F845" s="32"/>
      <c r="K845" s="3"/>
      <c r="L845" s="3"/>
    </row>
    <row r="846" spans="1:12" ht="13" x14ac:dyDescent="0.15">
      <c r="A846" s="7"/>
      <c r="B846" s="31"/>
      <c r="C846" s="31"/>
      <c r="D846" s="31"/>
      <c r="E846" s="32"/>
      <c r="F846" s="32"/>
      <c r="K846" s="3"/>
      <c r="L846" s="3"/>
    </row>
    <row r="847" spans="1:12" ht="13" x14ac:dyDescent="0.15">
      <c r="A847" s="7"/>
      <c r="B847" s="31"/>
      <c r="C847" s="31"/>
      <c r="D847" s="31"/>
      <c r="E847" s="32"/>
      <c r="F847" s="32"/>
      <c r="K847" s="3"/>
      <c r="L847" s="3"/>
    </row>
    <row r="848" spans="1:12" ht="13" x14ac:dyDescent="0.15">
      <c r="A848" s="7"/>
      <c r="B848" s="31"/>
      <c r="C848" s="31"/>
      <c r="D848" s="31"/>
      <c r="E848" s="32"/>
      <c r="F848" s="32"/>
      <c r="K848" s="3"/>
      <c r="L848" s="3"/>
    </row>
    <row r="849" spans="1:12" ht="13" x14ac:dyDescent="0.15">
      <c r="A849" s="7"/>
      <c r="B849" s="31"/>
      <c r="C849" s="31"/>
      <c r="D849" s="31"/>
      <c r="E849" s="32"/>
      <c r="F849" s="32"/>
      <c r="K849" s="3"/>
      <c r="L849" s="3"/>
    </row>
    <row r="850" spans="1:12" ht="13" x14ac:dyDescent="0.15">
      <c r="A850" s="7"/>
      <c r="B850" s="31"/>
      <c r="C850" s="31"/>
      <c r="D850" s="31"/>
      <c r="E850" s="32"/>
      <c r="F850" s="32"/>
      <c r="K850" s="3"/>
      <c r="L850" s="3"/>
    </row>
    <row r="851" spans="1:12" ht="13" x14ac:dyDescent="0.15">
      <c r="A851" s="7"/>
      <c r="B851" s="31"/>
      <c r="C851" s="31"/>
      <c r="D851" s="31"/>
      <c r="E851" s="32"/>
      <c r="F851" s="32"/>
      <c r="K851" s="3"/>
      <c r="L851" s="3"/>
    </row>
    <row r="852" spans="1:12" ht="13" x14ac:dyDescent="0.15">
      <c r="A852" s="7"/>
      <c r="B852" s="31"/>
      <c r="C852" s="31"/>
      <c r="D852" s="31"/>
      <c r="E852" s="32"/>
      <c r="F852" s="32"/>
      <c r="K852" s="3"/>
      <c r="L852" s="3"/>
    </row>
    <row r="853" spans="1:12" ht="13" x14ac:dyDescent="0.15">
      <c r="A853" s="7"/>
      <c r="B853" s="31"/>
      <c r="C853" s="31"/>
      <c r="D853" s="31"/>
      <c r="E853" s="32"/>
      <c r="F853" s="32"/>
      <c r="K853" s="3"/>
      <c r="L853" s="3"/>
    </row>
    <row r="854" spans="1:12" ht="13" x14ac:dyDescent="0.15">
      <c r="A854" s="7"/>
      <c r="B854" s="31"/>
      <c r="C854" s="31"/>
      <c r="D854" s="31"/>
      <c r="E854" s="32"/>
      <c r="F854" s="32"/>
      <c r="K854" s="3"/>
      <c r="L854" s="3"/>
    </row>
    <row r="855" spans="1:12" ht="13" x14ac:dyDescent="0.15">
      <c r="A855" s="7"/>
      <c r="B855" s="31"/>
      <c r="C855" s="31"/>
      <c r="D855" s="31"/>
      <c r="E855" s="32"/>
      <c r="F855" s="32"/>
      <c r="K855" s="3"/>
      <c r="L855" s="3"/>
    </row>
    <row r="856" spans="1:12" ht="13" x14ac:dyDescent="0.15">
      <c r="A856" s="7"/>
      <c r="B856" s="31"/>
      <c r="C856" s="31"/>
      <c r="D856" s="31"/>
      <c r="E856" s="32"/>
      <c r="F856" s="32"/>
      <c r="K856" s="3"/>
      <c r="L856" s="3"/>
    </row>
    <row r="857" spans="1:12" ht="13" x14ac:dyDescent="0.15">
      <c r="A857" s="7"/>
      <c r="B857" s="31"/>
      <c r="C857" s="31"/>
      <c r="D857" s="31"/>
      <c r="E857" s="32"/>
      <c r="F857" s="32"/>
      <c r="K857" s="3"/>
      <c r="L857" s="3"/>
    </row>
    <row r="858" spans="1:12" ht="13" x14ac:dyDescent="0.15">
      <c r="A858" s="7"/>
      <c r="B858" s="31"/>
      <c r="C858" s="31"/>
      <c r="D858" s="31"/>
      <c r="E858" s="32"/>
      <c r="F858" s="32"/>
      <c r="K858" s="3"/>
      <c r="L858" s="3"/>
    </row>
    <row r="859" spans="1:12" ht="13" x14ac:dyDescent="0.15">
      <c r="A859" s="7"/>
      <c r="B859" s="31"/>
      <c r="C859" s="31"/>
      <c r="D859" s="31"/>
      <c r="E859" s="32"/>
      <c r="F859" s="32"/>
      <c r="K859" s="3"/>
      <c r="L859" s="3"/>
    </row>
    <row r="860" spans="1:12" ht="13" x14ac:dyDescent="0.15">
      <c r="A860" s="7"/>
      <c r="B860" s="31"/>
      <c r="C860" s="31"/>
      <c r="D860" s="31"/>
      <c r="E860" s="32"/>
      <c r="F860" s="32"/>
      <c r="K860" s="3"/>
      <c r="L860" s="3"/>
    </row>
    <row r="861" spans="1:12" ht="13" x14ac:dyDescent="0.15">
      <c r="A861" s="7"/>
      <c r="B861" s="31"/>
      <c r="C861" s="31"/>
      <c r="D861" s="31"/>
      <c r="E861" s="32"/>
      <c r="F861" s="32"/>
      <c r="K861" s="3"/>
      <c r="L861" s="3"/>
    </row>
    <row r="862" spans="1:12" ht="13" x14ac:dyDescent="0.15">
      <c r="A862" s="7"/>
      <c r="B862" s="31"/>
      <c r="C862" s="31"/>
      <c r="D862" s="31"/>
      <c r="E862" s="32"/>
      <c r="F862" s="32"/>
      <c r="K862" s="3"/>
      <c r="L862" s="3"/>
    </row>
    <row r="863" spans="1:12" ht="13" x14ac:dyDescent="0.15">
      <c r="A863" s="7"/>
      <c r="B863" s="31"/>
      <c r="C863" s="31"/>
      <c r="D863" s="31"/>
      <c r="E863" s="32"/>
      <c r="F863" s="32"/>
      <c r="K863" s="3"/>
      <c r="L863" s="3"/>
    </row>
    <row r="864" spans="1:12" ht="13" x14ac:dyDescent="0.15">
      <c r="A864" s="7"/>
      <c r="B864" s="31"/>
      <c r="C864" s="31"/>
      <c r="D864" s="31"/>
      <c r="E864" s="32"/>
      <c r="F864" s="32"/>
      <c r="K864" s="3"/>
      <c r="L864" s="3"/>
    </row>
    <row r="865" spans="1:12" ht="13" x14ac:dyDescent="0.15">
      <c r="A865" s="7"/>
      <c r="B865" s="31"/>
      <c r="C865" s="31"/>
      <c r="D865" s="31"/>
      <c r="E865" s="32"/>
      <c r="F865" s="32"/>
      <c r="K865" s="3"/>
      <c r="L865" s="3"/>
    </row>
    <row r="866" spans="1:12" ht="13" x14ac:dyDescent="0.15">
      <c r="A866" s="7"/>
      <c r="B866" s="31"/>
      <c r="C866" s="31"/>
      <c r="D866" s="31"/>
      <c r="E866" s="32"/>
      <c r="F866" s="32"/>
      <c r="K866" s="3"/>
      <c r="L866" s="3"/>
    </row>
    <row r="867" spans="1:12" ht="13" x14ac:dyDescent="0.15">
      <c r="A867" s="7"/>
      <c r="B867" s="31"/>
      <c r="C867" s="31"/>
      <c r="D867" s="31"/>
      <c r="E867" s="32"/>
      <c r="F867" s="32"/>
      <c r="K867" s="3"/>
      <c r="L867" s="3"/>
    </row>
    <row r="868" spans="1:12" ht="13" x14ac:dyDescent="0.15">
      <c r="A868" s="7"/>
      <c r="B868" s="31"/>
      <c r="C868" s="31"/>
      <c r="D868" s="31"/>
      <c r="E868" s="32"/>
      <c r="F868" s="32"/>
      <c r="K868" s="3"/>
      <c r="L868" s="3"/>
    </row>
    <row r="869" spans="1:12" ht="13" x14ac:dyDescent="0.15">
      <c r="A869" s="7"/>
      <c r="B869" s="31"/>
      <c r="C869" s="31"/>
      <c r="D869" s="31"/>
      <c r="E869" s="32"/>
      <c r="F869" s="32"/>
      <c r="K869" s="3"/>
      <c r="L869" s="3"/>
    </row>
    <row r="870" spans="1:12" ht="13" x14ac:dyDescent="0.15">
      <c r="A870" s="7"/>
      <c r="B870" s="31"/>
      <c r="C870" s="31"/>
      <c r="D870" s="31"/>
      <c r="E870" s="32"/>
      <c r="F870" s="32"/>
      <c r="K870" s="3"/>
      <c r="L870" s="3"/>
    </row>
    <row r="871" spans="1:12" ht="13" x14ac:dyDescent="0.15">
      <c r="A871" s="7"/>
      <c r="B871" s="31"/>
      <c r="C871" s="31"/>
      <c r="D871" s="31"/>
      <c r="E871" s="32"/>
      <c r="F871" s="32"/>
      <c r="K871" s="3"/>
      <c r="L871" s="3"/>
    </row>
    <row r="872" spans="1:12" ht="13" x14ac:dyDescent="0.15">
      <c r="A872" s="7"/>
      <c r="B872" s="31"/>
      <c r="C872" s="31"/>
      <c r="D872" s="31"/>
      <c r="E872" s="32"/>
      <c r="F872" s="32"/>
      <c r="K872" s="3"/>
      <c r="L872" s="3"/>
    </row>
    <row r="873" spans="1:12" ht="13" x14ac:dyDescent="0.15">
      <c r="A873" s="7"/>
      <c r="B873" s="31"/>
      <c r="C873" s="31"/>
      <c r="D873" s="31"/>
      <c r="E873" s="32"/>
      <c r="F873" s="32"/>
      <c r="K873" s="3"/>
      <c r="L873" s="3"/>
    </row>
    <row r="874" spans="1:12" ht="13" x14ac:dyDescent="0.15">
      <c r="A874" s="7"/>
      <c r="B874" s="31"/>
      <c r="C874" s="31"/>
      <c r="D874" s="31"/>
      <c r="E874" s="32"/>
      <c r="F874" s="32"/>
      <c r="K874" s="3"/>
      <c r="L874" s="3"/>
    </row>
    <row r="875" spans="1:12" ht="13" x14ac:dyDescent="0.15">
      <c r="A875" s="7"/>
      <c r="B875" s="31"/>
      <c r="C875" s="31"/>
      <c r="D875" s="31"/>
      <c r="E875" s="32"/>
      <c r="F875" s="32"/>
      <c r="K875" s="3"/>
      <c r="L875" s="3"/>
    </row>
    <row r="876" spans="1:12" ht="13" x14ac:dyDescent="0.15">
      <c r="A876" s="7"/>
      <c r="B876" s="31"/>
      <c r="C876" s="31"/>
      <c r="D876" s="31"/>
      <c r="E876" s="32"/>
      <c r="F876" s="32"/>
      <c r="K876" s="3"/>
      <c r="L876" s="3"/>
    </row>
    <row r="877" spans="1:12" ht="13" x14ac:dyDescent="0.15">
      <c r="A877" s="7"/>
      <c r="B877" s="31"/>
      <c r="C877" s="31"/>
      <c r="D877" s="31"/>
      <c r="E877" s="32"/>
      <c r="F877" s="32"/>
      <c r="K877" s="3"/>
      <c r="L877" s="3"/>
    </row>
    <row r="878" spans="1:12" ht="13" x14ac:dyDescent="0.15">
      <c r="A878" s="7"/>
      <c r="B878" s="31"/>
      <c r="C878" s="31"/>
      <c r="D878" s="31"/>
      <c r="E878" s="32"/>
      <c r="F878" s="32"/>
      <c r="K878" s="3"/>
      <c r="L878" s="3"/>
    </row>
    <row r="879" spans="1:12" ht="13" x14ac:dyDescent="0.15">
      <c r="A879" s="7"/>
      <c r="B879" s="31"/>
      <c r="C879" s="31"/>
      <c r="D879" s="31"/>
      <c r="E879" s="32"/>
      <c r="F879" s="32"/>
      <c r="K879" s="3"/>
      <c r="L879" s="3"/>
    </row>
    <row r="880" spans="1:12" ht="13" x14ac:dyDescent="0.15">
      <c r="A880" s="7"/>
      <c r="B880" s="31"/>
      <c r="C880" s="31"/>
      <c r="D880" s="31"/>
      <c r="E880" s="32"/>
      <c r="F880" s="32"/>
      <c r="K880" s="3"/>
      <c r="L880" s="3"/>
    </row>
    <row r="881" spans="1:12" ht="13" x14ac:dyDescent="0.15">
      <c r="A881" s="7"/>
      <c r="B881" s="31"/>
      <c r="C881" s="31"/>
      <c r="D881" s="31"/>
      <c r="E881" s="32"/>
      <c r="F881" s="32"/>
      <c r="K881" s="3"/>
      <c r="L881" s="3"/>
    </row>
    <row r="882" spans="1:12" ht="13" x14ac:dyDescent="0.15">
      <c r="A882" s="7"/>
      <c r="B882" s="31"/>
      <c r="C882" s="31"/>
      <c r="D882" s="31"/>
      <c r="E882" s="32"/>
      <c r="F882" s="32"/>
      <c r="K882" s="3"/>
      <c r="L882" s="3"/>
    </row>
    <row r="883" spans="1:12" ht="13" x14ac:dyDescent="0.15">
      <c r="A883" s="7"/>
      <c r="B883" s="31"/>
      <c r="C883" s="31"/>
      <c r="D883" s="31"/>
      <c r="E883" s="32"/>
      <c r="F883" s="32"/>
      <c r="K883" s="3"/>
      <c r="L883" s="3"/>
    </row>
    <row r="884" spans="1:12" ht="13" x14ac:dyDescent="0.15">
      <c r="A884" s="7"/>
      <c r="B884" s="31"/>
      <c r="C884" s="31"/>
      <c r="D884" s="31"/>
      <c r="E884" s="32"/>
      <c r="F884" s="32"/>
      <c r="K884" s="3"/>
      <c r="L884" s="3"/>
    </row>
    <row r="885" spans="1:12" ht="13" x14ac:dyDescent="0.15">
      <c r="A885" s="7"/>
      <c r="B885" s="31"/>
      <c r="C885" s="31"/>
      <c r="D885" s="31"/>
      <c r="E885" s="32"/>
      <c r="F885" s="32"/>
      <c r="K885" s="3"/>
      <c r="L885" s="3"/>
    </row>
    <row r="886" spans="1:12" ht="13" x14ac:dyDescent="0.15">
      <c r="A886" s="7"/>
      <c r="B886" s="31"/>
      <c r="C886" s="31"/>
      <c r="D886" s="31"/>
      <c r="E886" s="32"/>
      <c r="F886" s="32"/>
      <c r="K886" s="3"/>
      <c r="L886" s="3"/>
    </row>
    <row r="887" spans="1:12" ht="13" x14ac:dyDescent="0.15">
      <c r="A887" s="7"/>
      <c r="B887" s="31"/>
      <c r="C887" s="31"/>
      <c r="D887" s="31"/>
      <c r="E887" s="32"/>
      <c r="F887" s="32"/>
      <c r="K887" s="3"/>
      <c r="L887" s="3"/>
    </row>
    <row r="888" spans="1:12" ht="13" x14ac:dyDescent="0.15">
      <c r="A888" s="7"/>
      <c r="B888" s="31"/>
      <c r="C888" s="31"/>
      <c r="D888" s="31"/>
      <c r="E888" s="32"/>
      <c r="F888" s="32"/>
      <c r="K888" s="3"/>
      <c r="L888" s="3"/>
    </row>
    <row r="889" spans="1:12" ht="13" x14ac:dyDescent="0.15">
      <c r="A889" s="7"/>
      <c r="B889" s="31"/>
      <c r="C889" s="31"/>
      <c r="D889" s="31"/>
      <c r="E889" s="32"/>
      <c r="F889" s="32"/>
      <c r="K889" s="3"/>
      <c r="L889" s="3"/>
    </row>
    <row r="890" spans="1:12" ht="13" x14ac:dyDescent="0.15">
      <c r="A890" s="7"/>
      <c r="B890" s="31"/>
      <c r="C890" s="31"/>
      <c r="D890" s="31"/>
      <c r="E890" s="32"/>
      <c r="F890" s="32"/>
      <c r="K890" s="3"/>
      <c r="L890" s="3"/>
    </row>
    <row r="891" spans="1:12" ht="13" x14ac:dyDescent="0.15">
      <c r="A891" s="7"/>
      <c r="B891" s="31"/>
      <c r="C891" s="31"/>
      <c r="D891" s="31"/>
      <c r="E891" s="32"/>
      <c r="F891" s="32"/>
      <c r="K891" s="3"/>
      <c r="L891" s="3"/>
    </row>
    <row r="892" spans="1:12" ht="13" x14ac:dyDescent="0.15">
      <c r="A892" s="7"/>
      <c r="B892" s="31"/>
      <c r="C892" s="31"/>
      <c r="D892" s="31"/>
      <c r="E892" s="32"/>
      <c r="F892" s="32"/>
      <c r="K892" s="3"/>
      <c r="L892" s="3"/>
    </row>
    <row r="893" spans="1:12" ht="13" x14ac:dyDescent="0.15">
      <c r="A893" s="7"/>
      <c r="B893" s="31"/>
      <c r="C893" s="31"/>
      <c r="D893" s="31"/>
      <c r="E893" s="32"/>
      <c r="F893" s="32"/>
      <c r="K893" s="3"/>
      <c r="L893" s="3"/>
    </row>
    <row r="894" spans="1:12" ht="13" x14ac:dyDescent="0.15">
      <c r="A894" s="7"/>
      <c r="B894" s="31"/>
      <c r="C894" s="31"/>
      <c r="D894" s="31"/>
      <c r="E894" s="32"/>
      <c r="F894" s="32"/>
      <c r="K894" s="3"/>
      <c r="L894" s="3"/>
    </row>
    <row r="895" spans="1:12" ht="13" x14ac:dyDescent="0.15">
      <c r="A895" s="7"/>
      <c r="B895" s="31"/>
      <c r="C895" s="31"/>
      <c r="D895" s="31"/>
      <c r="E895" s="32"/>
      <c r="F895" s="32"/>
      <c r="K895" s="3"/>
      <c r="L895" s="3"/>
    </row>
    <row r="896" spans="1:12" ht="13" x14ac:dyDescent="0.15">
      <c r="A896" s="7"/>
      <c r="B896" s="31"/>
      <c r="C896" s="31"/>
      <c r="D896" s="31"/>
      <c r="E896" s="32"/>
      <c r="F896" s="32"/>
      <c r="K896" s="3"/>
      <c r="L896" s="3"/>
    </row>
    <row r="897" spans="1:12" ht="13" x14ac:dyDescent="0.15">
      <c r="A897" s="7"/>
      <c r="B897" s="31"/>
      <c r="C897" s="31"/>
      <c r="D897" s="31"/>
      <c r="E897" s="32"/>
      <c r="F897" s="32"/>
      <c r="K897" s="3"/>
      <c r="L897" s="3"/>
    </row>
    <row r="898" spans="1:12" ht="13" x14ac:dyDescent="0.15">
      <c r="A898" s="7"/>
      <c r="B898" s="31"/>
      <c r="C898" s="31"/>
      <c r="D898" s="31"/>
      <c r="E898" s="32"/>
      <c r="F898" s="32"/>
      <c r="K898" s="3"/>
      <c r="L898" s="3"/>
    </row>
    <row r="899" spans="1:12" ht="13" x14ac:dyDescent="0.15">
      <c r="A899" s="7"/>
      <c r="B899" s="31"/>
      <c r="C899" s="31"/>
      <c r="D899" s="31"/>
      <c r="E899" s="32"/>
      <c r="F899" s="32"/>
      <c r="K899" s="3"/>
      <c r="L899" s="3"/>
    </row>
    <row r="900" spans="1:12" ht="13" x14ac:dyDescent="0.15">
      <c r="A900" s="7"/>
      <c r="B900" s="31"/>
      <c r="C900" s="31"/>
      <c r="D900" s="31"/>
      <c r="E900" s="32"/>
      <c r="F900" s="32"/>
      <c r="K900" s="3"/>
      <c r="L900" s="3"/>
    </row>
    <row r="901" spans="1:12" ht="13" x14ac:dyDescent="0.15">
      <c r="A901" s="7"/>
      <c r="B901" s="31"/>
      <c r="C901" s="31"/>
      <c r="D901" s="31"/>
      <c r="E901" s="32"/>
      <c r="F901" s="32"/>
      <c r="K901" s="3"/>
      <c r="L901" s="3"/>
    </row>
    <row r="902" spans="1:12" ht="13" x14ac:dyDescent="0.15">
      <c r="A902" s="7"/>
      <c r="B902" s="31"/>
      <c r="C902" s="31"/>
      <c r="D902" s="31"/>
      <c r="E902" s="32"/>
      <c r="F902" s="32"/>
      <c r="K902" s="3"/>
      <c r="L902" s="3"/>
    </row>
    <row r="903" spans="1:12" ht="13" x14ac:dyDescent="0.15">
      <c r="A903" s="7"/>
      <c r="B903" s="31"/>
      <c r="C903" s="31"/>
      <c r="D903" s="31"/>
      <c r="E903" s="32"/>
      <c r="F903" s="32"/>
      <c r="K903" s="3"/>
      <c r="L903" s="3"/>
    </row>
    <row r="904" spans="1:12" ht="13" x14ac:dyDescent="0.15">
      <c r="A904" s="7"/>
      <c r="B904" s="31"/>
      <c r="C904" s="31"/>
      <c r="D904" s="31"/>
      <c r="E904" s="32"/>
      <c r="F904" s="32"/>
      <c r="K904" s="3"/>
      <c r="L904" s="3"/>
    </row>
    <row r="905" spans="1:12" ht="13" x14ac:dyDescent="0.15">
      <c r="A905" s="7"/>
      <c r="B905" s="31"/>
      <c r="C905" s="31"/>
      <c r="D905" s="31"/>
      <c r="E905" s="32"/>
      <c r="F905" s="32"/>
      <c r="K905" s="3"/>
      <c r="L905" s="3"/>
    </row>
    <row r="906" spans="1:12" ht="13" x14ac:dyDescent="0.15">
      <c r="A906" s="7"/>
      <c r="B906" s="31"/>
      <c r="C906" s="31"/>
      <c r="D906" s="31"/>
      <c r="E906" s="32"/>
      <c r="F906" s="32"/>
      <c r="K906" s="3"/>
      <c r="L906" s="3"/>
    </row>
    <row r="907" spans="1:12" ht="13" x14ac:dyDescent="0.15">
      <c r="A907" s="7"/>
      <c r="B907" s="31"/>
      <c r="C907" s="31"/>
      <c r="D907" s="31"/>
      <c r="E907" s="32"/>
      <c r="F907" s="32"/>
      <c r="K907" s="3"/>
      <c r="L907" s="3"/>
    </row>
    <row r="908" spans="1:12" ht="13" x14ac:dyDescent="0.15">
      <c r="A908" s="7"/>
      <c r="B908" s="31"/>
      <c r="C908" s="31"/>
      <c r="D908" s="31"/>
      <c r="E908" s="32"/>
      <c r="F908" s="32"/>
      <c r="K908" s="3"/>
      <c r="L908" s="3"/>
    </row>
    <row r="909" spans="1:12" ht="13" x14ac:dyDescent="0.15">
      <c r="A909" s="7"/>
      <c r="B909" s="31"/>
      <c r="C909" s="31"/>
      <c r="D909" s="31"/>
      <c r="E909" s="32"/>
      <c r="F909" s="32"/>
      <c r="K909" s="3"/>
      <c r="L909" s="3"/>
    </row>
    <row r="910" spans="1:12" ht="13" x14ac:dyDescent="0.15">
      <c r="A910" s="7"/>
      <c r="B910" s="31"/>
      <c r="C910" s="31"/>
      <c r="D910" s="31"/>
      <c r="E910" s="32"/>
      <c r="F910" s="32"/>
      <c r="K910" s="3"/>
      <c r="L910" s="3"/>
    </row>
    <row r="911" spans="1:12" ht="13" x14ac:dyDescent="0.15">
      <c r="A911" s="7"/>
      <c r="B911" s="31"/>
      <c r="C911" s="31"/>
      <c r="D911" s="31"/>
      <c r="E911" s="32"/>
      <c r="F911" s="32"/>
      <c r="K911" s="3"/>
      <c r="L911" s="3"/>
    </row>
    <row r="912" spans="1:12" ht="13" x14ac:dyDescent="0.15">
      <c r="A912" s="7"/>
      <c r="B912" s="31"/>
      <c r="C912" s="31"/>
      <c r="D912" s="31"/>
      <c r="E912" s="32"/>
      <c r="F912" s="32"/>
      <c r="K912" s="3"/>
      <c r="L912" s="3"/>
    </row>
    <row r="913" spans="1:12" ht="13" x14ac:dyDescent="0.15">
      <c r="A913" s="7"/>
      <c r="B913" s="31"/>
      <c r="C913" s="31"/>
      <c r="D913" s="31"/>
      <c r="E913" s="32"/>
      <c r="F913" s="32"/>
      <c r="K913" s="3"/>
      <c r="L913" s="3"/>
    </row>
    <row r="914" spans="1:12" ht="13" x14ac:dyDescent="0.15">
      <c r="A914" s="7"/>
      <c r="B914" s="31"/>
      <c r="C914" s="31"/>
      <c r="D914" s="31"/>
      <c r="E914" s="32"/>
      <c r="F914" s="32"/>
      <c r="K914" s="3"/>
      <c r="L914" s="3"/>
    </row>
    <row r="915" spans="1:12" ht="13" x14ac:dyDescent="0.15">
      <c r="A915" s="7"/>
      <c r="B915" s="31"/>
      <c r="C915" s="31"/>
      <c r="D915" s="31"/>
      <c r="E915" s="32"/>
      <c r="F915" s="32"/>
      <c r="K915" s="3"/>
      <c r="L915" s="3"/>
    </row>
    <row r="916" spans="1:12" ht="13" x14ac:dyDescent="0.15">
      <c r="A916" s="7"/>
      <c r="B916" s="31"/>
      <c r="C916" s="31"/>
      <c r="D916" s="31"/>
      <c r="E916" s="32"/>
      <c r="F916" s="32"/>
      <c r="K916" s="3"/>
      <c r="L916" s="3"/>
    </row>
    <row r="917" spans="1:12" ht="13" x14ac:dyDescent="0.15">
      <c r="A917" s="7"/>
      <c r="B917" s="31"/>
      <c r="C917" s="31"/>
      <c r="D917" s="31"/>
      <c r="E917" s="32"/>
      <c r="F917" s="32"/>
      <c r="K917" s="3"/>
      <c r="L917" s="3"/>
    </row>
    <row r="918" spans="1:12" ht="13" x14ac:dyDescent="0.15">
      <c r="A918" s="7"/>
      <c r="B918" s="31"/>
      <c r="C918" s="31"/>
      <c r="D918" s="31"/>
      <c r="E918" s="32"/>
      <c r="F918" s="32"/>
      <c r="K918" s="3"/>
      <c r="L918" s="3"/>
    </row>
    <row r="919" spans="1:12" ht="13" x14ac:dyDescent="0.15">
      <c r="A919" s="7"/>
      <c r="B919" s="31"/>
      <c r="C919" s="31"/>
      <c r="D919" s="31"/>
      <c r="E919" s="32"/>
      <c r="F919" s="32"/>
      <c r="K919" s="3"/>
      <c r="L919" s="3"/>
    </row>
    <row r="920" spans="1:12" ht="13" x14ac:dyDescent="0.15">
      <c r="A920" s="7"/>
      <c r="B920" s="31"/>
      <c r="C920" s="31"/>
      <c r="D920" s="31"/>
      <c r="E920" s="32"/>
      <c r="F920" s="32"/>
      <c r="K920" s="3"/>
      <c r="L920" s="3"/>
    </row>
    <row r="921" spans="1:12" ht="13" x14ac:dyDescent="0.15">
      <c r="A921" s="7"/>
      <c r="B921" s="31"/>
      <c r="C921" s="31"/>
      <c r="D921" s="31"/>
      <c r="E921" s="32"/>
      <c r="F921" s="32"/>
      <c r="K921" s="3"/>
      <c r="L921" s="3"/>
    </row>
    <row r="922" spans="1:12" ht="13" x14ac:dyDescent="0.15">
      <c r="A922" s="7"/>
      <c r="B922" s="31"/>
      <c r="C922" s="31"/>
      <c r="D922" s="31"/>
      <c r="E922" s="32"/>
      <c r="F922" s="32"/>
      <c r="K922" s="3"/>
      <c r="L922" s="3"/>
    </row>
    <row r="923" spans="1:12" ht="13" x14ac:dyDescent="0.15">
      <c r="A923" s="7"/>
      <c r="B923" s="31"/>
      <c r="C923" s="31"/>
      <c r="D923" s="31"/>
      <c r="E923" s="32"/>
      <c r="F923" s="32"/>
      <c r="K923" s="3"/>
      <c r="L923" s="3"/>
    </row>
    <row r="924" spans="1:12" ht="13" x14ac:dyDescent="0.15">
      <c r="A924" s="7"/>
      <c r="B924" s="31"/>
      <c r="C924" s="31"/>
      <c r="D924" s="31"/>
      <c r="E924" s="32"/>
      <c r="F924" s="32"/>
      <c r="K924" s="3"/>
      <c r="L924" s="3"/>
    </row>
    <row r="925" spans="1:12" ht="13" x14ac:dyDescent="0.15">
      <c r="A925" s="7"/>
      <c r="B925" s="31"/>
      <c r="C925" s="31"/>
      <c r="D925" s="31"/>
      <c r="E925" s="32"/>
      <c r="F925" s="32"/>
      <c r="K925" s="3"/>
      <c r="L925" s="3"/>
    </row>
    <row r="926" spans="1:12" ht="13" x14ac:dyDescent="0.15">
      <c r="A926" s="7"/>
      <c r="B926" s="31"/>
      <c r="C926" s="31"/>
      <c r="D926" s="31"/>
      <c r="E926" s="32"/>
      <c r="F926" s="32"/>
      <c r="K926" s="3"/>
      <c r="L926" s="3"/>
    </row>
    <row r="927" spans="1:12" ht="13" x14ac:dyDescent="0.15">
      <c r="A927" s="7"/>
      <c r="B927" s="31"/>
      <c r="C927" s="31"/>
      <c r="D927" s="31"/>
      <c r="E927" s="32"/>
      <c r="F927" s="32"/>
      <c r="K927" s="3"/>
      <c r="L927" s="3"/>
    </row>
    <row r="928" spans="1:12" ht="13" x14ac:dyDescent="0.15">
      <c r="A928" s="7"/>
      <c r="B928" s="31"/>
      <c r="C928" s="31"/>
      <c r="D928" s="31"/>
      <c r="E928" s="32"/>
      <c r="F928" s="32"/>
      <c r="K928" s="3"/>
      <c r="L928" s="3"/>
    </row>
    <row r="929" spans="1:12" ht="13" x14ac:dyDescent="0.15">
      <c r="A929" s="7"/>
      <c r="B929" s="31"/>
      <c r="C929" s="31"/>
      <c r="D929" s="31"/>
      <c r="E929" s="32"/>
      <c r="F929" s="32"/>
      <c r="K929" s="3"/>
      <c r="L929" s="3"/>
    </row>
    <row r="930" spans="1:12" ht="13" x14ac:dyDescent="0.15">
      <c r="A930" s="7"/>
      <c r="B930" s="31"/>
      <c r="C930" s="31"/>
      <c r="D930" s="31"/>
      <c r="E930" s="32"/>
      <c r="F930" s="32"/>
      <c r="K930" s="3"/>
      <c r="L930" s="3"/>
    </row>
    <row r="931" spans="1:12" ht="13" x14ac:dyDescent="0.15">
      <c r="A931" s="7"/>
      <c r="B931" s="31"/>
      <c r="C931" s="31"/>
      <c r="D931" s="31"/>
      <c r="E931" s="32"/>
      <c r="F931" s="32"/>
      <c r="K931" s="3"/>
      <c r="L931" s="3"/>
    </row>
    <row r="932" spans="1:12" ht="13" x14ac:dyDescent="0.15">
      <c r="A932" s="7"/>
      <c r="B932" s="31"/>
      <c r="C932" s="31"/>
      <c r="D932" s="31"/>
      <c r="E932" s="32"/>
      <c r="F932" s="32"/>
      <c r="K932" s="3"/>
      <c r="L932" s="3"/>
    </row>
    <row r="933" spans="1:12" ht="13" x14ac:dyDescent="0.15">
      <c r="A933" s="7"/>
      <c r="B933" s="31"/>
      <c r="C933" s="31"/>
      <c r="D933" s="31"/>
      <c r="E933" s="32"/>
      <c r="F933" s="32"/>
      <c r="K933" s="3"/>
      <c r="L933" s="3"/>
    </row>
    <row r="934" spans="1:12" ht="13" x14ac:dyDescent="0.15">
      <c r="A934" s="7"/>
      <c r="B934" s="31"/>
      <c r="C934" s="31"/>
      <c r="D934" s="31"/>
      <c r="E934" s="32"/>
      <c r="F934" s="32"/>
      <c r="K934" s="3"/>
      <c r="L934" s="3"/>
    </row>
    <row r="935" spans="1:12" ht="13" x14ac:dyDescent="0.15">
      <c r="A935" s="7"/>
      <c r="B935" s="31"/>
      <c r="C935" s="31"/>
      <c r="D935" s="31"/>
      <c r="E935" s="32"/>
      <c r="F935" s="32"/>
      <c r="K935" s="3"/>
      <c r="L935" s="3"/>
    </row>
    <row r="936" spans="1:12" ht="13" x14ac:dyDescent="0.15">
      <c r="A936" s="7"/>
      <c r="B936" s="31"/>
      <c r="C936" s="31"/>
      <c r="D936" s="31"/>
      <c r="E936" s="32"/>
      <c r="F936" s="32"/>
      <c r="K936" s="3"/>
      <c r="L936" s="3"/>
    </row>
    <row r="937" spans="1:12" ht="13" x14ac:dyDescent="0.15">
      <c r="A937" s="7"/>
      <c r="B937" s="31"/>
      <c r="C937" s="31"/>
      <c r="D937" s="31"/>
      <c r="E937" s="32"/>
      <c r="F937" s="32"/>
      <c r="K937" s="3"/>
      <c r="L937" s="3"/>
    </row>
    <row r="938" spans="1:12" ht="13" x14ac:dyDescent="0.15">
      <c r="A938" s="7"/>
      <c r="B938" s="31"/>
      <c r="C938" s="31"/>
      <c r="D938" s="31"/>
      <c r="E938" s="32"/>
      <c r="F938" s="32"/>
      <c r="K938" s="3"/>
      <c r="L938" s="3"/>
    </row>
    <row r="939" spans="1:12" ht="13" x14ac:dyDescent="0.15">
      <c r="A939" s="7"/>
      <c r="B939" s="31"/>
      <c r="C939" s="31"/>
      <c r="D939" s="31"/>
      <c r="E939" s="32"/>
      <c r="F939" s="32"/>
      <c r="K939" s="3"/>
      <c r="L939" s="3"/>
    </row>
    <row r="940" spans="1:12" ht="13" x14ac:dyDescent="0.15">
      <c r="A940" s="7"/>
      <c r="B940" s="31"/>
      <c r="C940" s="31"/>
      <c r="D940" s="31"/>
      <c r="E940" s="32"/>
      <c r="F940" s="32"/>
      <c r="K940" s="3"/>
      <c r="L940" s="3"/>
    </row>
    <row r="941" spans="1:12" ht="13" x14ac:dyDescent="0.15">
      <c r="A941" s="7"/>
      <c r="B941" s="31"/>
      <c r="C941" s="31"/>
      <c r="D941" s="31"/>
      <c r="E941" s="32"/>
      <c r="F941" s="32"/>
      <c r="K941" s="3"/>
      <c r="L941" s="3"/>
    </row>
    <row r="942" spans="1:12" ht="13" x14ac:dyDescent="0.15">
      <c r="A942" s="7"/>
      <c r="B942" s="31"/>
      <c r="C942" s="31"/>
      <c r="D942" s="31"/>
      <c r="E942" s="32"/>
      <c r="F942" s="32"/>
      <c r="K942" s="3"/>
      <c r="L942" s="3"/>
    </row>
    <row r="943" spans="1:12" ht="13" x14ac:dyDescent="0.15">
      <c r="A943" s="7"/>
      <c r="B943" s="31"/>
      <c r="C943" s="31"/>
      <c r="D943" s="31"/>
      <c r="E943" s="32"/>
      <c r="F943" s="32"/>
      <c r="K943" s="3"/>
      <c r="L943" s="3"/>
    </row>
    <row r="944" spans="1:12" ht="13" x14ac:dyDescent="0.15">
      <c r="A944" s="7"/>
      <c r="B944" s="31"/>
      <c r="C944" s="31"/>
      <c r="D944" s="31"/>
      <c r="E944" s="32"/>
      <c r="F944" s="32"/>
      <c r="K944" s="3"/>
      <c r="L944" s="3"/>
    </row>
    <row r="945" spans="1:12" ht="13" x14ac:dyDescent="0.15">
      <c r="A945" s="7"/>
      <c r="B945" s="31"/>
      <c r="C945" s="31"/>
      <c r="D945" s="31"/>
      <c r="E945" s="32"/>
      <c r="F945" s="32"/>
      <c r="K945" s="3"/>
      <c r="L945" s="3"/>
    </row>
    <row r="946" spans="1:12" ht="13" x14ac:dyDescent="0.15">
      <c r="A946" s="7"/>
      <c r="B946" s="31"/>
      <c r="C946" s="31"/>
      <c r="D946" s="31"/>
      <c r="E946" s="32"/>
      <c r="F946" s="32"/>
      <c r="K946" s="3"/>
      <c r="L946" s="3"/>
    </row>
    <row r="947" spans="1:12" ht="13" x14ac:dyDescent="0.15">
      <c r="A947" s="7"/>
      <c r="B947" s="31"/>
      <c r="C947" s="31"/>
      <c r="D947" s="31"/>
      <c r="E947" s="32"/>
      <c r="F947" s="32"/>
      <c r="K947" s="3"/>
      <c r="L947" s="3"/>
    </row>
    <row r="948" spans="1:12" ht="13" x14ac:dyDescent="0.15">
      <c r="A948" s="7"/>
      <c r="B948" s="31"/>
      <c r="C948" s="31"/>
      <c r="D948" s="31"/>
      <c r="E948" s="32"/>
      <c r="F948" s="32"/>
      <c r="K948" s="3"/>
      <c r="L948" s="3"/>
    </row>
    <row r="949" spans="1:12" ht="13" x14ac:dyDescent="0.15">
      <c r="A949" s="7"/>
      <c r="B949" s="31"/>
      <c r="C949" s="31"/>
      <c r="D949" s="31"/>
      <c r="E949" s="32"/>
      <c r="F949" s="32"/>
      <c r="K949" s="3"/>
      <c r="L949" s="3"/>
    </row>
    <row r="950" spans="1:12" ht="13" x14ac:dyDescent="0.15">
      <c r="A950" s="7"/>
      <c r="B950" s="31"/>
      <c r="C950" s="31"/>
      <c r="D950" s="31"/>
      <c r="E950" s="32"/>
      <c r="F950" s="32"/>
      <c r="K950" s="3"/>
      <c r="L950" s="3"/>
    </row>
    <row r="951" spans="1:12" ht="13" x14ac:dyDescent="0.15">
      <c r="A951" s="7"/>
      <c r="B951" s="31"/>
      <c r="C951" s="31"/>
      <c r="D951" s="31"/>
      <c r="E951" s="32"/>
      <c r="F951" s="32"/>
      <c r="K951" s="3"/>
      <c r="L951" s="3"/>
    </row>
    <row r="952" spans="1:12" ht="13" x14ac:dyDescent="0.15">
      <c r="A952" s="7"/>
      <c r="B952" s="31"/>
      <c r="C952" s="31"/>
      <c r="D952" s="31"/>
      <c r="E952" s="32"/>
      <c r="F952" s="32"/>
      <c r="K952" s="3"/>
      <c r="L952" s="3"/>
    </row>
    <row r="953" spans="1:12" ht="13" x14ac:dyDescent="0.15">
      <c r="A953" s="7"/>
      <c r="B953" s="31"/>
      <c r="C953" s="31"/>
      <c r="D953" s="31"/>
      <c r="E953" s="32"/>
      <c r="F953" s="32"/>
      <c r="K953" s="3"/>
      <c r="L953" s="3"/>
    </row>
    <row r="954" spans="1:12" ht="13" x14ac:dyDescent="0.15">
      <c r="A954" s="7"/>
      <c r="B954" s="31"/>
      <c r="C954" s="31"/>
      <c r="D954" s="31"/>
      <c r="E954" s="32"/>
      <c r="F954" s="32"/>
      <c r="K954" s="3"/>
      <c r="L954" s="3"/>
    </row>
    <row r="955" spans="1:12" ht="13" x14ac:dyDescent="0.15">
      <c r="A955" s="7"/>
      <c r="B955" s="31"/>
      <c r="C955" s="31"/>
      <c r="D955" s="31"/>
      <c r="E955" s="32"/>
      <c r="F955" s="32"/>
      <c r="K955" s="3"/>
      <c r="L955" s="3"/>
    </row>
    <row r="956" spans="1:12" ht="13" x14ac:dyDescent="0.15">
      <c r="A956" s="7"/>
      <c r="B956" s="31"/>
      <c r="C956" s="31"/>
      <c r="D956" s="31"/>
      <c r="E956" s="32"/>
      <c r="F956" s="32"/>
      <c r="K956" s="3"/>
      <c r="L956" s="3"/>
    </row>
    <row r="957" spans="1:12" ht="13" x14ac:dyDescent="0.15">
      <c r="A957" s="7"/>
      <c r="B957" s="31"/>
      <c r="C957" s="31"/>
      <c r="D957" s="31"/>
      <c r="E957" s="32"/>
      <c r="F957" s="32"/>
      <c r="K957" s="3"/>
      <c r="L957" s="3"/>
    </row>
    <row r="958" spans="1:12" ht="13" x14ac:dyDescent="0.15">
      <c r="A958" s="7"/>
      <c r="B958" s="31"/>
      <c r="C958" s="31"/>
      <c r="D958" s="31"/>
      <c r="E958" s="32"/>
      <c r="F958" s="32"/>
      <c r="K958" s="3"/>
      <c r="L958" s="3"/>
    </row>
    <row r="959" spans="1:12" ht="13" x14ac:dyDescent="0.15">
      <c r="A959" s="7"/>
      <c r="B959" s="31"/>
      <c r="C959" s="31"/>
      <c r="D959" s="31"/>
      <c r="E959" s="32"/>
      <c r="F959" s="32"/>
      <c r="K959" s="3"/>
      <c r="L959" s="3"/>
    </row>
    <row r="960" spans="1:12" ht="13" x14ac:dyDescent="0.15">
      <c r="A960" s="7"/>
      <c r="B960" s="31"/>
      <c r="C960" s="31"/>
      <c r="D960" s="31"/>
      <c r="E960" s="32"/>
      <c r="F960" s="32"/>
      <c r="K960" s="3"/>
      <c r="L960" s="3"/>
    </row>
    <row r="961" spans="1:12" ht="13" x14ac:dyDescent="0.15">
      <c r="A961" s="7"/>
      <c r="B961" s="31"/>
      <c r="C961" s="31"/>
      <c r="D961" s="31"/>
      <c r="E961" s="32"/>
      <c r="F961" s="32"/>
      <c r="K961" s="3"/>
      <c r="L961" s="3"/>
    </row>
    <row r="962" spans="1:12" ht="13" x14ac:dyDescent="0.15">
      <c r="A962" s="7"/>
      <c r="B962" s="31"/>
      <c r="C962" s="31"/>
      <c r="D962" s="31"/>
      <c r="E962" s="32"/>
      <c r="F962" s="32"/>
      <c r="K962" s="3"/>
      <c r="L962" s="3"/>
    </row>
    <row r="963" spans="1:12" ht="13" x14ac:dyDescent="0.15">
      <c r="A963" s="7"/>
      <c r="B963" s="31"/>
      <c r="C963" s="31"/>
      <c r="D963" s="31"/>
      <c r="E963" s="32"/>
      <c r="F963" s="32"/>
      <c r="K963" s="3"/>
      <c r="L963" s="3"/>
    </row>
    <row r="964" spans="1:12" ht="13" x14ac:dyDescent="0.15">
      <c r="A964" s="7"/>
      <c r="B964" s="31"/>
      <c r="C964" s="31"/>
      <c r="D964" s="31"/>
      <c r="E964" s="32"/>
      <c r="F964" s="32"/>
      <c r="K964" s="3"/>
      <c r="L964" s="3"/>
    </row>
    <row r="965" spans="1:12" ht="13" x14ac:dyDescent="0.15">
      <c r="A965" s="7"/>
      <c r="B965" s="31"/>
      <c r="C965" s="31"/>
      <c r="D965" s="31"/>
      <c r="E965" s="32"/>
      <c r="F965" s="32"/>
      <c r="K965" s="3"/>
      <c r="L965" s="3"/>
    </row>
    <row r="966" spans="1:12" ht="13" x14ac:dyDescent="0.15">
      <c r="A966" s="7"/>
      <c r="B966" s="31"/>
      <c r="C966" s="31"/>
      <c r="D966" s="31"/>
      <c r="E966" s="32"/>
      <c r="F966" s="32"/>
      <c r="K966" s="3"/>
      <c r="L966" s="3"/>
    </row>
    <row r="967" spans="1:12" ht="13" x14ac:dyDescent="0.15">
      <c r="A967" s="7"/>
      <c r="B967" s="31"/>
      <c r="C967" s="31"/>
      <c r="D967" s="31"/>
      <c r="E967" s="32"/>
      <c r="F967" s="32"/>
      <c r="K967" s="3"/>
      <c r="L967" s="3"/>
    </row>
    <row r="968" spans="1:12" ht="13" x14ac:dyDescent="0.15">
      <c r="A968" s="7"/>
      <c r="B968" s="31"/>
      <c r="C968" s="31"/>
      <c r="D968" s="31"/>
      <c r="E968" s="32"/>
      <c r="F968" s="32"/>
      <c r="K968" s="3"/>
      <c r="L968" s="3"/>
    </row>
    <row r="969" spans="1:12" ht="13" x14ac:dyDescent="0.15">
      <c r="A969" s="7"/>
      <c r="B969" s="31"/>
      <c r="C969" s="31"/>
      <c r="D969" s="31"/>
      <c r="E969" s="32"/>
      <c r="F969" s="32"/>
      <c r="K969" s="3"/>
      <c r="L969" s="3"/>
    </row>
    <row r="970" spans="1:12" ht="13" x14ac:dyDescent="0.15">
      <c r="A970" s="7"/>
      <c r="B970" s="31"/>
      <c r="C970" s="31"/>
      <c r="D970" s="31"/>
      <c r="E970" s="32"/>
      <c r="F970" s="32"/>
      <c r="K970" s="3"/>
      <c r="L970" s="3"/>
    </row>
    <row r="971" spans="1:12" ht="13" x14ac:dyDescent="0.15">
      <c r="A971" s="7"/>
      <c r="B971" s="31"/>
      <c r="C971" s="31"/>
      <c r="D971" s="31"/>
      <c r="E971" s="32"/>
      <c r="F971" s="32"/>
      <c r="K971" s="3"/>
      <c r="L971" s="3"/>
    </row>
    <row r="972" spans="1:12" ht="13" x14ac:dyDescent="0.15">
      <c r="A972" s="7"/>
      <c r="B972" s="31"/>
      <c r="C972" s="31"/>
      <c r="D972" s="31"/>
      <c r="E972" s="32"/>
      <c r="F972" s="32"/>
      <c r="K972" s="3"/>
      <c r="L972" s="3"/>
    </row>
    <row r="973" spans="1:12" ht="13" x14ac:dyDescent="0.15">
      <c r="A973" s="7"/>
      <c r="B973" s="31"/>
      <c r="C973" s="31"/>
      <c r="D973" s="31"/>
      <c r="E973" s="32"/>
      <c r="F973" s="32"/>
      <c r="K973" s="3"/>
      <c r="L973" s="3"/>
    </row>
    <row r="974" spans="1:12" ht="13" x14ac:dyDescent="0.15">
      <c r="A974" s="7"/>
      <c r="B974" s="31"/>
      <c r="C974" s="31"/>
      <c r="D974" s="31"/>
      <c r="E974" s="32"/>
      <c r="F974" s="32"/>
      <c r="K974" s="3"/>
      <c r="L974" s="3"/>
    </row>
    <row r="975" spans="1:12" ht="13" x14ac:dyDescent="0.15">
      <c r="A975" s="7"/>
      <c r="B975" s="31"/>
      <c r="C975" s="31"/>
      <c r="D975" s="31"/>
      <c r="E975" s="32"/>
      <c r="F975" s="32"/>
      <c r="K975" s="3"/>
      <c r="L975" s="3"/>
    </row>
    <row r="976" spans="1:12" ht="13" x14ac:dyDescent="0.15">
      <c r="A976" s="7"/>
      <c r="B976" s="31"/>
      <c r="C976" s="31"/>
      <c r="D976" s="31"/>
      <c r="E976" s="32"/>
      <c r="F976" s="32"/>
      <c r="K976" s="3"/>
      <c r="L976" s="3"/>
    </row>
    <row r="977" spans="1:12" ht="13" x14ac:dyDescent="0.15">
      <c r="A977" s="7"/>
      <c r="B977" s="31"/>
      <c r="C977" s="31"/>
      <c r="D977" s="31"/>
      <c r="E977" s="32"/>
      <c r="F977" s="32"/>
      <c r="K977" s="3"/>
      <c r="L977" s="3"/>
    </row>
    <row r="978" spans="1:12" ht="13" x14ac:dyDescent="0.15">
      <c r="A978" s="7"/>
      <c r="B978" s="31"/>
      <c r="C978" s="31"/>
      <c r="D978" s="31"/>
      <c r="E978" s="32"/>
      <c r="F978" s="32"/>
      <c r="K978" s="3"/>
      <c r="L978" s="3"/>
    </row>
    <row r="979" spans="1:12" ht="13" x14ac:dyDescent="0.15">
      <c r="A979" s="7"/>
      <c r="B979" s="31"/>
      <c r="C979" s="31"/>
      <c r="D979" s="31"/>
      <c r="E979" s="32"/>
      <c r="F979" s="32"/>
      <c r="K979" s="3"/>
      <c r="L979" s="3"/>
    </row>
    <row r="980" spans="1:12" ht="13" x14ac:dyDescent="0.15">
      <c r="A980" s="7"/>
      <c r="B980" s="31"/>
      <c r="C980" s="31"/>
      <c r="D980" s="31"/>
      <c r="E980" s="32"/>
      <c r="F980" s="32"/>
      <c r="K980" s="3"/>
      <c r="L980" s="3"/>
    </row>
    <row r="981" spans="1:12" ht="13" x14ac:dyDescent="0.15">
      <c r="A981" s="7"/>
      <c r="B981" s="31"/>
      <c r="C981" s="31"/>
      <c r="D981" s="31"/>
      <c r="E981" s="32"/>
      <c r="F981" s="32"/>
      <c r="K981" s="3"/>
      <c r="L981" s="3"/>
    </row>
    <row r="982" spans="1:12" ht="13" x14ac:dyDescent="0.15">
      <c r="A982" s="7"/>
      <c r="B982" s="31"/>
      <c r="C982" s="31"/>
      <c r="D982" s="31"/>
      <c r="E982" s="32"/>
      <c r="F982" s="32"/>
      <c r="K982" s="3"/>
      <c r="L982" s="3"/>
    </row>
    <row r="983" spans="1:12" ht="13" x14ac:dyDescent="0.15">
      <c r="A983" s="7"/>
      <c r="B983" s="31"/>
      <c r="C983" s="31"/>
      <c r="D983" s="31"/>
      <c r="E983" s="32"/>
      <c r="F983" s="32"/>
      <c r="K983" s="3"/>
      <c r="L983" s="3"/>
    </row>
    <row r="984" spans="1:12" ht="13" x14ac:dyDescent="0.15">
      <c r="A984" s="7"/>
      <c r="B984" s="31"/>
      <c r="C984" s="31"/>
      <c r="D984" s="31"/>
      <c r="E984" s="32"/>
      <c r="F984" s="32"/>
      <c r="K984" s="3"/>
      <c r="L984" s="3"/>
    </row>
    <row r="985" spans="1:12" ht="13" x14ac:dyDescent="0.15">
      <c r="A985" s="7"/>
      <c r="B985" s="31"/>
      <c r="C985" s="31"/>
      <c r="D985" s="31"/>
      <c r="E985" s="32"/>
      <c r="F985" s="32"/>
      <c r="K985" s="3"/>
      <c r="L985" s="3"/>
    </row>
    <row r="986" spans="1:12" ht="13" x14ac:dyDescent="0.15">
      <c r="A986" s="7"/>
      <c r="B986" s="31"/>
      <c r="C986" s="31"/>
      <c r="D986" s="31"/>
      <c r="E986" s="32"/>
      <c r="F986" s="32"/>
      <c r="K986" s="3"/>
      <c r="L986" s="3"/>
    </row>
    <row r="987" spans="1:12" ht="13" x14ac:dyDescent="0.15">
      <c r="A987" s="7"/>
      <c r="B987" s="31"/>
      <c r="C987" s="31"/>
      <c r="D987" s="31"/>
      <c r="E987" s="32"/>
      <c r="F987" s="32"/>
      <c r="K987" s="3"/>
      <c r="L987" s="3"/>
    </row>
    <row r="988" spans="1:12" ht="13" x14ac:dyDescent="0.15">
      <c r="A988" s="7"/>
      <c r="B988" s="31"/>
      <c r="C988" s="31"/>
      <c r="D988" s="31"/>
      <c r="E988" s="32"/>
      <c r="F988" s="32"/>
      <c r="K988" s="3"/>
      <c r="L988" s="3"/>
    </row>
    <row r="989" spans="1:12" ht="13" x14ac:dyDescent="0.15">
      <c r="A989" s="7"/>
      <c r="B989" s="31"/>
      <c r="C989" s="31"/>
      <c r="D989" s="31"/>
      <c r="E989" s="32"/>
      <c r="F989" s="32"/>
      <c r="K989" s="3"/>
      <c r="L989" s="3"/>
    </row>
    <row r="990" spans="1:12" ht="13" x14ac:dyDescent="0.15">
      <c r="A990" s="7"/>
      <c r="B990" s="31"/>
      <c r="C990" s="31"/>
      <c r="D990" s="31"/>
      <c r="E990" s="32"/>
      <c r="F990" s="32"/>
      <c r="K990" s="3"/>
      <c r="L990" s="3"/>
    </row>
    <row r="991" spans="1:12" ht="13" x14ac:dyDescent="0.15">
      <c r="A991" s="7"/>
      <c r="B991" s="31"/>
      <c r="C991" s="31"/>
      <c r="D991" s="31"/>
      <c r="E991" s="32"/>
      <c r="F991" s="32"/>
      <c r="K991" s="3"/>
      <c r="L991" s="3"/>
    </row>
    <row r="992" spans="1:12" ht="13" x14ac:dyDescent="0.15">
      <c r="A992" s="7"/>
      <c r="B992" s="31"/>
      <c r="C992" s="31"/>
      <c r="D992" s="31"/>
      <c r="E992" s="32"/>
      <c r="F992" s="32"/>
      <c r="K992" s="3"/>
      <c r="L992" s="3"/>
    </row>
    <row r="993" spans="1:12" ht="13" x14ac:dyDescent="0.15">
      <c r="A993" s="7"/>
      <c r="B993" s="31"/>
      <c r="C993" s="31"/>
      <c r="D993" s="31"/>
      <c r="E993" s="32"/>
      <c r="F993" s="32"/>
      <c r="K993" s="3"/>
      <c r="L993" s="3"/>
    </row>
    <row r="994" spans="1:12" ht="13" x14ac:dyDescent="0.15">
      <c r="A994" s="7"/>
      <c r="B994" s="31"/>
      <c r="C994" s="31"/>
      <c r="D994" s="31"/>
      <c r="E994" s="32"/>
      <c r="F994" s="32"/>
      <c r="K994" s="3"/>
      <c r="L994" s="3"/>
    </row>
    <row r="995" spans="1:12" ht="13" x14ac:dyDescent="0.15">
      <c r="A995" s="7"/>
      <c r="B995" s="31"/>
      <c r="C995" s="31"/>
      <c r="D995" s="31"/>
      <c r="E995" s="32"/>
      <c r="F995" s="32"/>
      <c r="K995" s="3"/>
      <c r="L995" s="3"/>
    </row>
    <row r="996" spans="1:12" ht="13" x14ac:dyDescent="0.15">
      <c r="A996" s="7"/>
      <c r="B996" s="31"/>
      <c r="C996" s="31"/>
      <c r="D996" s="31"/>
      <c r="E996" s="32"/>
      <c r="F996" s="32"/>
      <c r="K996" s="3"/>
      <c r="L996" s="3"/>
    </row>
    <row r="997" spans="1:12" ht="13" x14ac:dyDescent="0.15">
      <c r="A997" s="7"/>
      <c r="B997" s="31"/>
      <c r="C997" s="31"/>
      <c r="D997" s="31"/>
      <c r="E997" s="32"/>
      <c r="F997" s="32"/>
      <c r="K997" s="3"/>
      <c r="L997" s="3"/>
    </row>
    <row r="998" spans="1:12" ht="13" x14ac:dyDescent="0.15">
      <c r="A998" s="7"/>
      <c r="B998" s="31"/>
      <c r="C998" s="31"/>
      <c r="D998" s="31"/>
      <c r="E998" s="32"/>
      <c r="F998" s="32"/>
      <c r="K998" s="3"/>
      <c r="L998" s="3"/>
    </row>
    <row r="999" spans="1:12" ht="13" x14ac:dyDescent="0.15">
      <c r="A999" s="7"/>
      <c r="B999" s="31"/>
      <c r="C999" s="31"/>
      <c r="D999" s="31"/>
      <c r="E999" s="32"/>
      <c r="F999" s="32"/>
      <c r="K999" s="3"/>
      <c r="L999" s="3"/>
    </row>
    <row r="1000" spans="1:12" ht="13" x14ac:dyDescent="0.15">
      <c r="A1000" s="7"/>
      <c r="B1000" s="31"/>
      <c r="C1000" s="31"/>
      <c r="D1000" s="31"/>
      <c r="E1000" s="32"/>
      <c r="F1000" s="32"/>
      <c r="K1000" s="3"/>
      <c r="L1000" s="3"/>
    </row>
    <row r="1001" spans="1:12" ht="13" x14ac:dyDescent="0.15">
      <c r="A1001" s="7"/>
      <c r="B1001" s="31"/>
      <c r="C1001" s="31"/>
      <c r="D1001" s="31"/>
      <c r="E1001" s="32"/>
      <c r="F1001" s="32"/>
      <c r="K1001" s="3"/>
      <c r="L1001" s="3"/>
    </row>
    <row r="1002" spans="1:12" ht="13" x14ac:dyDescent="0.15">
      <c r="A1002" s="7"/>
      <c r="B1002" s="31"/>
      <c r="C1002" s="31"/>
      <c r="D1002" s="31"/>
      <c r="E1002" s="32"/>
      <c r="F1002" s="32"/>
      <c r="K1002" s="3"/>
      <c r="L1002" s="3"/>
    </row>
    <row r="1003" spans="1:12" ht="13" x14ac:dyDescent="0.15">
      <c r="A1003" s="7"/>
      <c r="B1003" s="31"/>
      <c r="C1003" s="31"/>
      <c r="D1003" s="31"/>
      <c r="E1003" s="32"/>
      <c r="F1003" s="32"/>
      <c r="K1003" s="3"/>
      <c r="L1003" s="3"/>
    </row>
    <row r="1004" spans="1:12" ht="13" x14ac:dyDescent="0.15">
      <c r="A1004" s="7"/>
      <c r="B1004" s="31"/>
      <c r="C1004" s="31"/>
      <c r="D1004" s="31"/>
      <c r="E1004" s="32"/>
      <c r="F1004" s="32"/>
      <c r="K1004" s="3"/>
      <c r="L1004" s="3"/>
    </row>
    <row r="1005" spans="1:12" ht="13" x14ac:dyDescent="0.15">
      <c r="A1005" s="7"/>
      <c r="B1005" s="31"/>
      <c r="C1005" s="31"/>
      <c r="D1005" s="31"/>
      <c r="E1005" s="32"/>
      <c r="F1005" s="32"/>
      <c r="K1005" s="3"/>
      <c r="L1005" s="3"/>
    </row>
    <row r="1006" spans="1:12" ht="13" x14ac:dyDescent="0.15">
      <c r="A1006" s="7"/>
      <c r="B1006" s="31"/>
      <c r="C1006" s="31"/>
      <c r="D1006" s="31"/>
      <c r="E1006" s="32"/>
      <c r="F1006" s="32"/>
      <c r="K1006" s="3"/>
      <c r="L1006" s="3"/>
    </row>
    <row r="1007" spans="1:12" ht="13" x14ac:dyDescent="0.15">
      <c r="A1007" s="7"/>
      <c r="B1007" s="31"/>
      <c r="C1007" s="31"/>
      <c r="D1007" s="31"/>
      <c r="E1007" s="32"/>
      <c r="F1007" s="32"/>
      <c r="K1007" s="3"/>
      <c r="L1007" s="3"/>
    </row>
    <row r="1008" spans="1:12" ht="13" x14ac:dyDescent="0.15">
      <c r="A1008" s="7"/>
      <c r="B1008" s="31"/>
      <c r="C1008" s="31"/>
      <c r="D1008" s="31"/>
      <c r="E1008" s="32"/>
      <c r="F1008" s="32"/>
      <c r="K1008" s="3"/>
      <c r="L1008" s="3"/>
    </row>
    <row r="1009" spans="1:12" ht="13" x14ac:dyDescent="0.15">
      <c r="A1009" s="7"/>
      <c r="B1009" s="31"/>
      <c r="C1009" s="31"/>
      <c r="D1009" s="31"/>
      <c r="E1009" s="32"/>
      <c r="F1009" s="32"/>
      <c r="K1009" s="3"/>
      <c r="L1009" s="3"/>
    </row>
    <row r="1010" spans="1:12" ht="13" x14ac:dyDescent="0.15">
      <c r="A1010" s="7"/>
      <c r="B1010" s="31"/>
      <c r="C1010" s="31"/>
      <c r="D1010" s="31"/>
      <c r="E1010" s="32"/>
      <c r="F1010" s="32"/>
      <c r="K1010" s="3"/>
      <c r="L1010" s="3"/>
    </row>
    <row r="1011" spans="1:12" ht="13" x14ac:dyDescent="0.15">
      <c r="A1011" s="7"/>
      <c r="B1011" s="31"/>
      <c r="C1011" s="31"/>
      <c r="D1011" s="31"/>
      <c r="E1011" s="32"/>
      <c r="F1011" s="32"/>
      <c r="K1011" s="3"/>
      <c r="L1011" s="3"/>
    </row>
    <row r="1012" spans="1:12" ht="13" x14ac:dyDescent="0.15">
      <c r="A1012" s="7"/>
      <c r="B1012" s="31"/>
      <c r="C1012" s="31"/>
      <c r="D1012" s="31"/>
      <c r="E1012" s="32"/>
      <c r="F1012" s="32"/>
      <c r="K1012" s="3"/>
      <c r="L1012" s="3"/>
    </row>
    <row r="1013" spans="1:12" ht="13" x14ac:dyDescent="0.15">
      <c r="A1013" s="7"/>
      <c r="B1013" s="31"/>
      <c r="C1013" s="31"/>
      <c r="D1013" s="31"/>
      <c r="E1013" s="32"/>
      <c r="F1013" s="32"/>
      <c r="K1013" s="3"/>
      <c r="L1013" s="3"/>
    </row>
    <row r="1014" spans="1:12" ht="13" x14ac:dyDescent="0.15">
      <c r="A1014" s="7"/>
      <c r="B1014" s="31"/>
      <c r="C1014" s="31"/>
      <c r="D1014" s="31"/>
      <c r="E1014" s="32"/>
      <c r="F1014" s="32"/>
      <c r="K1014" s="3"/>
      <c r="L1014" s="3"/>
    </row>
    <row r="1015" spans="1:12" ht="13" x14ac:dyDescent="0.15">
      <c r="A1015" s="7"/>
      <c r="B1015" s="31"/>
      <c r="C1015" s="31"/>
      <c r="D1015" s="31"/>
      <c r="E1015" s="32"/>
      <c r="F1015" s="32"/>
      <c r="K1015" s="3"/>
      <c r="L1015" s="3"/>
    </row>
    <row r="1016" spans="1:12" ht="13" x14ac:dyDescent="0.15">
      <c r="A1016" s="7"/>
      <c r="B1016" s="31"/>
      <c r="C1016" s="31"/>
      <c r="D1016" s="31"/>
      <c r="E1016" s="32"/>
      <c r="F1016" s="32"/>
      <c r="K1016" s="3"/>
      <c r="L1016" s="3"/>
    </row>
    <row r="1017" spans="1:12" ht="13" x14ac:dyDescent="0.15">
      <c r="A1017" s="7"/>
      <c r="B1017" s="31"/>
      <c r="C1017" s="31"/>
      <c r="D1017" s="31"/>
      <c r="E1017" s="32"/>
      <c r="F1017" s="32"/>
      <c r="K1017" s="3"/>
      <c r="L1017" s="3"/>
    </row>
    <row r="1018" spans="1:12" ht="13" x14ac:dyDescent="0.15">
      <c r="A1018" s="7"/>
      <c r="B1018" s="31"/>
      <c r="C1018" s="31"/>
      <c r="D1018" s="31"/>
      <c r="E1018" s="32"/>
      <c r="F1018" s="32"/>
      <c r="K1018" s="3"/>
      <c r="L1018" s="3"/>
    </row>
    <row r="1019" spans="1:12" ht="13" x14ac:dyDescent="0.15">
      <c r="A1019" s="7"/>
      <c r="B1019" s="31"/>
      <c r="C1019" s="31"/>
      <c r="D1019" s="31"/>
      <c r="E1019" s="32"/>
      <c r="F1019" s="32"/>
      <c r="K1019" s="3"/>
      <c r="L1019" s="3"/>
    </row>
    <row r="1020" spans="1:12" ht="13" x14ac:dyDescent="0.15">
      <c r="A1020" s="7"/>
      <c r="B1020" s="31"/>
      <c r="C1020" s="31"/>
      <c r="D1020" s="31"/>
      <c r="E1020" s="32"/>
      <c r="F1020" s="32"/>
      <c r="K1020" s="3"/>
      <c r="L1020" s="3"/>
    </row>
    <row r="1021" spans="1:12" ht="13" x14ac:dyDescent="0.15">
      <c r="A1021" s="7"/>
      <c r="B1021" s="31"/>
      <c r="C1021" s="31"/>
      <c r="D1021" s="31"/>
      <c r="E1021" s="32"/>
      <c r="F1021" s="32"/>
      <c r="K1021" s="3"/>
      <c r="L1021" s="3"/>
    </row>
    <row r="1022" spans="1:12" ht="13" x14ac:dyDescent="0.15">
      <c r="A1022" s="7"/>
      <c r="B1022" s="31"/>
      <c r="C1022" s="31"/>
      <c r="D1022" s="31"/>
      <c r="E1022" s="32"/>
      <c r="F1022" s="32"/>
      <c r="K1022" s="3"/>
      <c r="L1022" s="3"/>
    </row>
    <row r="1023" spans="1:12" ht="13" x14ac:dyDescent="0.15">
      <c r="A1023" s="7"/>
      <c r="B1023" s="31"/>
      <c r="C1023" s="31"/>
      <c r="D1023" s="31"/>
      <c r="E1023" s="32"/>
      <c r="F1023" s="32"/>
      <c r="K1023" s="3"/>
      <c r="L1023" s="3"/>
    </row>
    <row r="1024" spans="1:12" ht="13" x14ac:dyDescent="0.15">
      <c r="A1024" s="7"/>
      <c r="B1024" s="31"/>
      <c r="C1024" s="31"/>
      <c r="D1024" s="31"/>
      <c r="E1024" s="32"/>
      <c r="F1024" s="32"/>
      <c r="K1024" s="3"/>
      <c r="L1024" s="3"/>
    </row>
    <row r="1025" spans="1:12" ht="13" x14ac:dyDescent="0.15">
      <c r="A1025" s="7"/>
      <c r="B1025" s="31"/>
      <c r="C1025" s="31"/>
      <c r="D1025" s="31"/>
      <c r="E1025" s="32"/>
      <c r="F1025" s="32"/>
      <c r="K1025" s="3"/>
      <c r="L1025" s="3"/>
    </row>
    <row r="1026" spans="1:12" ht="13" x14ac:dyDescent="0.15">
      <c r="A1026" s="7"/>
      <c r="B1026" s="31"/>
      <c r="C1026" s="31"/>
      <c r="D1026" s="31"/>
      <c r="E1026" s="32"/>
      <c r="F1026" s="32"/>
      <c r="K1026" s="3"/>
      <c r="L1026" s="3"/>
    </row>
    <row r="1027" spans="1:12" ht="13" x14ac:dyDescent="0.15">
      <c r="A1027" s="7"/>
      <c r="B1027" s="31"/>
      <c r="C1027" s="31"/>
      <c r="D1027" s="31"/>
      <c r="E1027" s="32"/>
      <c r="F1027" s="32"/>
      <c r="K1027" s="3"/>
      <c r="L1027" s="3"/>
    </row>
    <row r="1028" spans="1:12" ht="13" x14ac:dyDescent="0.15">
      <c r="A1028" s="7"/>
      <c r="B1028" s="31"/>
      <c r="C1028" s="31"/>
      <c r="D1028" s="31"/>
      <c r="E1028" s="32"/>
      <c r="F1028" s="32"/>
      <c r="K1028" s="3"/>
      <c r="L1028" s="3"/>
    </row>
    <row r="1029" spans="1:12" ht="13" x14ac:dyDescent="0.15">
      <c r="A1029" s="7"/>
      <c r="B1029" s="31"/>
      <c r="C1029" s="31"/>
      <c r="D1029" s="31"/>
      <c r="E1029" s="32"/>
      <c r="F1029" s="32"/>
      <c r="K1029" s="3"/>
      <c r="L1029" s="3"/>
    </row>
    <row r="1030" spans="1:12" ht="13" x14ac:dyDescent="0.15">
      <c r="A1030" s="7"/>
      <c r="B1030" s="31"/>
      <c r="C1030" s="31"/>
      <c r="D1030" s="31"/>
      <c r="E1030" s="32"/>
      <c r="F1030" s="32"/>
      <c r="K1030" s="3"/>
      <c r="L1030" s="3"/>
    </row>
    <row r="1031" spans="1:12" ht="13" x14ac:dyDescent="0.15">
      <c r="A1031" s="7"/>
      <c r="B1031" s="31"/>
      <c r="C1031" s="31"/>
      <c r="D1031" s="31"/>
      <c r="E1031" s="32"/>
      <c r="F1031" s="32"/>
      <c r="K1031" s="3"/>
      <c r="L1031" s="3"/>
    </row>
    <row r="1032" spans="1:12" ht="13" x14ac:dyDescent="0.15">
      <c r="A1032" s="7"/>
      <c r="B1032" s="31"/>
      <c r="C1032" s="31"/>
      <c r="D1032" s="31"/>
      <c r="E1032" s="32"/>
      <c r="F1032" s="32"/>
      <c r="K1032" s="3"/>
      <c r="L1032" s="3"/>
    </row>
    <row r="1033" spans="1:12" ht="13" x14ac:dyDescent="0.15">
      <c r="A1033" s="7"/>
      <c r="B1033" s="31"/>
      <c r="C1033" s="31"/>
      <c r="D1033" s="31"/>
      <c r="E1033" s="32"/>
      <c r="F1033" s="32"/>
      <c r="K1033" s="3"/>
      <c r="L1033" s="3"/>
    </row>
    <row r="1034" spans="1:12" ht="13" x14ac:dyDescent="0.15">
      <c r="A1034" s="7"/>
      <c r="B1034" s="31"/>
      <c r="C1034" s="31"/>
      <c r="D1034" s="31"/>
      <c r="E1034" s="32"/>
      <c r="F1034" s="32"/>
      <c r="K1034" s="3"/>
      <c r="L1034" s="3"/>
    </row>
    <row r="1035" spans="1:12" ht="13" x14ac:dyDescent="0.15">
      <c r="A1035" s="7"/>
      <c r="B1035" s="31"/>
      <c r="C1035" s="31"/>
      <c r="D1035" s="31"/>
      <c r="E1035" s="32"/>
      <c r="F1035" s="32"/>
      <c r="K1035" s="3"/>
      <c r="L1035" s="3"/>
    </row>
    <row r="1036" spans="1:12" ht="13" x14ac:dyDescent="0.15">
      <c r="A1036" s="7"/>
      <c r="B1036" s="31"/>
      <c r="C1036" s="31"/>
      <c r="D1036" s="31"/>
      <c r="E1036" s="32"/>
      <c r="F1036" s="32"/>
      <c r="K1036" s="3"/>
      <c r="L1036" s="3"/>
    </row>
    <row r="1037" spans="1:12" ht="13" x14ac:dyDescent="0.15">
      <c r="A1037" s="7"/>
      <c r="B1037" s="31"/>
      <c r="C1037" s="31"/>
      <c r="D1037" s="31"/>
      <c r="E1037" s="32"/>
      <c r="F1037" s="32"/>
      <c r="K1037" s="3"/>
      <c r="L1037" s="3"/>
    </row>
    <row r="1038" spans="1:12" ht="13" x14ac:dyDescent="0.15">
      <c r="A1038" s="7"/>
      <c r="B1038" s="31"/>
      <c r="C1038" s="31"/>
      <c r="D1038" s="31"/>
      <c r="E1038" s="32"/>
      <c r="F1038" s="32"/>
      <c r="K1038" s="3"/>
      <c r="L1038" s="3"/>
    </row>
    <row r="1039" spans="1:12" ht="13" x14ac:dyDescent="0.15">
      <c r="A1039" s="7"/>
      <c r="B1039" s="31"/>
      <c r="C1039" s="31"/>
      <c r="D1039" s="31"/>
      <c r="E1039" s="32"/>
      <c r="F1039" s="32"/>
      <c r="K1039" s="3"/>
      <c r="L1039" s="3"/>
    </row>
    <row r="1040" spans="1:12" ht="13" x14ac:dyDescent="0.15">
      <c r="A1040" s="7"/>
      <c r="B1040" s="31"/>
      <c r="C1040" s="31"/>
      <c r="D1040" s="31"/>
      <c r="E1040" s="32"/>
      <c r="F1040" s="32"/>
      <c r="K1040" s="3"/>
      <c r="L1040" s="3"/>
    </row>
    <row r="1041" spans="1:12" ht="13" x14ac:dyDescent="0.15">
      <c r="A1041" s="7"/>
      <c r="B1041" s="31"/>
      <c r="C1041" s="31"/>
      <c r="D1041" s="31"/>
      <c r="E1041" s="32"/>
      <c r="F1041" s="32"/>
      <c r="K1041" s="3"/>
      <c r="L1041" s="3"/>
    </row>
    <row r="1042" spans="1:12" ht="13" x14ac:dyDescent="0.15">
      <c r="A1042" s="7"/>
      <c r="B1042" s="31"/>
      <c r="C1042" s="31"/>
      <c r="D1042" s="31"/>
      <c r="E1042" s="32"/>
      <c r="F1042" s="32"/>
      <c r="K1042" s="3"/>
      <c r="L1042" s="3"/>
    </row>
    <row r="1043" spans="1:12" ht="13" x14ac:dyDescent="0.15">
      <c r="A1043" s="7"/>
      <c r="B1043" s="31"/>
      <c r="C1043" s="31"/>
      <c r="D1043" s="31"/>
      <c r="E1043" s="32"/>
      <c r="F1043" s="32"/>
      <c r="K1043" s="3"/>
      <c r="L1043" s="3"/>
    </row>
    <row r="1044" spans="1:12" ht="13" x14ac:dyDescent="0.15">
      <c r="A1044" s="7"/>
      <c r="B1044" s="31"/>
      <c r="C1044" s="31"/>
      <c r="D1044" s="31"/>
      <c r="E1044" s="32"/>
      <c r="F1044" s="32"/>
      <c r="K1044" s="3"/>
      <c r="L1044" s="3"/>
    </row>
    <row r="1045" spans="1:12" ht="13" x14ac:dyDescent="0.15">
      <c r="A1045" s="7"/>
      <c r="B1045" s="31"/>
      <c r="C1045" s="31"/>
      <c r="D1045" s="31"/>
      <c r="E1045" s="32"/>
      <c r="F1045" s="32"/>
      <c r="K1045" s="3"/>
      <c r="L1045" s="3"/>
    </row>
    <row r="1046" spans="1:12" ht="13" x14ac:dyDescent="0.15">
      <c r="A1046" s="7"/>
      <c r="B1046" s="31"/>
      <c r="C1046" s="31"/>
      <c r="D1046" s="31"/>
      <c r="E1046" s="32"/>
      <c r="F1046" s="32"/>
      <c r="K1046" s="3"/>
      <c r="L1046" s="3"/>
    </row>
    <row r="1047" spans="1:12" ht="13" x14ac:dyDescent="0.15">
      <c r="A1047" s="7"/>
      <c r="B1047" s="31"/>
      <c r="C1047" s="31"/>
      <c r="D1047" s="31"/>
      <c r="E1047" s="32"/>
      <c r="F1047" s="32"/>
      <c r="K1047" s="3"/>
      <c r="L1047" s="3"/>
    </row>
    <row r="1048" spans="1:12" ht="13" x14ac:dyDescent="0.15">
      <c r="A1048" s="7"/>
      <c r="B1048" s="31"/>
      <c r="C1048" s="31"/>
      <c r="D1048" s="31"/>
      <c r="E1048" s="32"/>
      <c r="F1048" s="32"/>
      <c r="K1048" s="3"/>
      <c r="L1048" s="3"/>
    </row>
    <row r="1049" spans="1:12" ht="13" x14ac:dyDescent="0.15">
      <c r="A1049" s="7"/>
      <c r="B1049" s="31"/>
      <c r="C1049" s="31"/>
      <c r="D1049" s="31"/>
      <c r="E1049" s="32"/>
      <c r="F1049" s="32"/>
      <c r="K1049" s="3"/>
      <c r="L1049" s="3"/>
    </row>
    <row r="1050" spans="1:12" ht="13" x14ac:dyDescent="0.15">
      <c r="A1050" s="7"/>
      <c r="B1050" s="31"/>
      <c r="C1050" s="31"/>
      <c r="D1050" s="31"/>
      <c r="E1050" s="32"/>
      <c r="F1050" s="32"/>
      <c r="K1050" s="3"/>
      <c r="L1050" s="3"/>
    </row>
    <row r="1051" spans="1:12" ht="13" x14ac:dyDescent="0.15">
      <c r="A1051" s="7"/>
      <c r="B1051" s="31"/>
      <c r="C1051" s="31"/>
      <c r="D1051" s="31"/>
      <c r="E1051" s="32"/>
      <c r="F1051" s="32"/>
      <c r="K1051" s="3"/>
      <c r="L1051" s="3"/>
    </row>
    <row r="1052" spans="1:12" ht="13" x14ac:dyDescent="0.15">
      <c r="A1052" s="7"/>
      <c r="B1052" s="31"/>
      <c r="C1052" s="31"/>
      <c r="D1052" s="31"/>
      <c r="E1052" s="32"/>
      <c r="F1052" s="32"/>
      <c r="K1052" s="3"/>
      <c r="L1052" s="3"/>
    </row>
    <row r="1053" spans="1:12" ht="13" x14ac:dyDescent="0.15">
      <c r="A1053" s="7"/>
      <c r="B1053" s="31"/>
      <c r="C1053" s="31"/>
      <c r="D1053" s="31"/>
      <c r="E1053" s="32"/>
      <c r="F1053" s="32"/>
      <c r="K1053" s="3"/>
      <c r="L1053" s="3"/>
    </row>
    <row r="1054" spans="1:12" ht="13" x14ac:dyDescent="0.15">
      <c r="A1054" s="7"/>
      <c r="B1054" s="31"/>
      <c r="C1054" s="31"/>
      <c r="D1054" s="31"/>
      <c r="E1054" s="32"/>
      <c r="F1054" s="32"/>
      <c r="K1054" s="3"/>
      <c r="L1054" s="3"/>
    </row>
    <row r="1055" spans="1:12" ht="13" x14ac:dyDescent="0.15">
      <c r="A1055" s="7"/>
      <c r="B1055" s="31"/>
      <c r="C1055" s="31"/>
      <c r="D1055" s="31"/>
      <c r="E1055" s="32"/>
      <c r="F1055" s="32"/>
      <c r="K1055" s="3"/>
      <c r="L1055" s="3"/>
    </row>
    <row r="1056" spans="1:12" ht="13" x14ac:dyDescent="0.15">
      <c r="A1056" s="7"/>
      <c r="B1056" s="31"/>
      <c r="C1056" s="31"/>
      <c r="D1056" s="31"/>
      <c r="E1056" s="32"/>
      <c r="F1056" s="32"/>
      <c r="K1056" s="3"/>
      <c r="L1056" s="3"/>
    </row>
    <row r="1057" spans="1:12" ht="13" x14ac:dyDescent="0.15">
      <c r="A1057" s="7"/>
      <c r="B1057" s="31"/>
      <c r="C1057" s="31"/>
      <c r="D1057" s="31"/>
      <c r="E1057" s="32"/>
      <c r="F1057" s="32"/>
      <c r="K1057" s="3"/>
      <c r="L1057" s="3"/>
    </row>
    <row r="1058" spans="1:12" ht="13" x14ac:dyDescent="0.15">
      <c r="A1058" s="7"/>
      <c r="B1058" s="31"/>
      <c r="C1058" s="31"/>
      <c r="D1058" s="31"/>
      <c r="E1058" s="32"/>
      <c r="F1058" s="32"/>
      <c r="K1058" s="3"/>
      <c r="L1058" s="3"/>
    </row>
    <row r="1059" spans="1:12" ht="13" x14ac:dyDescent="0.15">
      <c r="A1059" s="7"/>
      <c r="B1059" s="31"/>
      <c r="C1059" s="31"/>
      <c r="D1059" s="31"/>
      <c r="E1059" s="32"/>
      <c r="F1059" s="32"/>
      <c r="K1059" s="3"/>
      <c r="L1059" s="3"/>
    </row>
    <row r="1060" spans="1:12" ht="13" x14ac:dyDescent="0.15">
      <c r="A1060" s="7"/>
      <c r="B1060" s="31"/>
      <c r="C1060" s="31"/>
      <c r="D1060" s="31"/>
      <c r="E1060" s="32"/>
      <c r="F1060" s="32"/>
      <c r="K1060" s="3"/>
      <c r="L1060" s="3"/>
    </row>
    <row r="1061" spans="1:12" ht="13" x14ac:dyDescent="0.15">
      <c r="A1061" s="7"/>
      <c r="B1061" s="31"/>
      <c r="C1061" s="31"/>
      <c r="D1061" s="31"/>
      <c r="E1061" s="32"/>
      <c r="F1061" s="32"/>
      <c r="K1061" s="3"/>
      <c r="L1061" s="3"/>
    </row>
    <row r="1062" spans="1:12" ht="13" x14ac:dyDescent="0.15">
      <c r="A1062" s="7"/>
      <c r="B1062" s="31"/>
      <c r="C1062" s="31"/>
      <c r="D1062" s="31"/>
      <c r="E1062" s="32"/>
      <c r="F1062" s="32"/>
      <c r="K1062" s="3"/>
      <c r="L1062" s="3"/>
    </row>
    <row r="1063" spans="1:12" ht="13" x14ac:dyDescent="0.15">
      <c r="A1063" s="7"/>
      <c r="B1063" s="31"/>
      <c r="C1063" s="31"/>
      <c r="D1063" s="31"/>
      <c r="E1063" s="32"/>
      <c r="F1063" s="32"/>
      <c r="K1063" s="3"/>
      <c r="L1063" s="3"/>
    </row>
    <row r="1064" spans="1:12" ht="13" x14ac:dyDescent="0.15">
      <c r="A1064" s="7"/>
      <c r="B1064" s="31"/>
      <c r="C1064" s="31"/>
      <c r="D1064" s="31"/>
      <c r="E1064" s="32"/>
      <c r="F1064" s="32"/>
      <c r="K1064" s="3"/>
      <c r="L1064" s="3"/>
    </row>
    <row r="1065" spans="1:12" ht="13" x14ac:dyDescent="0.15">
      <c r="A1065" s="7"/>
      <c r="B1065" s="31"/>
      <c r="C1065" s="31"/>
      <c r="D1065" s="31"/>
      <c r="E1065" s="32"/>
      <c r="F1065" s="32"/>
      <c r="K1065" s="3"/>
      <c r="L1065" s="3"/>
    </row>
    <row r="1066" spans="1:12" ht="13" x14ac:dyDescent="0.15">
      <c r="A1066" s="7"/>
      <c r="B1066" s="31"/>
      <c r="C1066" s="31"/>
      <c r="D1066" s="31"/>
      <c r="E1066" s="32"/>
      <c r="F1066" s="32"/>
      <c r="K1066" s="3"/>
      <c r="L1066" s="3"/>
    </row>
    <row r="1067" spans="1:12" ht="13" x14ac:dyDescent="0.15">
      <c r="A1067" s="7"/>
      <c r="B1067" s="31"/>
      <c r="C1067" s="31"/>
      <c r="D1067" s="31"/>
      <c r="E1067" s="32"/>
      <c r="F1067" s="32"/>
      <c r="K1067" s="3"/>
      <c r="L1067" s="3"/>
    </row>
    <row r="1068" spans="1:12" ht="13" x14ac:dyDescent="0.15">
      <c r="A1068" s="7"/>
      <c r="B1068" s="31"/>
      <c r="C1068" s="31"/>
      <c r="D1068" s="31"/>
      <c r="E1068" s="32"/>
      <c r="F1068" s="32"/>
      <c r="K1068" s="3"/>
      <c r="L1068" s="3"/>
    </row>
    <row r="1069" spans="1:12" ht="13" x14ac:dyDescent="0.15">
      <c r="A1069" s="7"/>
      <c r="B1069" s="31"/>
      <c r="C1069" s="31"/>
      <c r="D1069" s="31"/>
      <c r="E1069" s="32"/>
      <c r="F1069" s="32"/>
      <c r="K1069" s="3"/>
      <c r="L1069" s="3"/>
    </row>
    <row r="1070" spans="1:12" ht="13" x14ac:dyDescent="0.15">
      <c r="A1070" s="7"/>
      <c r="B1070" s="31"/>
      <c r="C1070" s="31"/>
      <c r="D1070" s="31"/>
      <c r="E1070" s="32"/>
      <c r="F1070" s="32"/>
      <c r="K1070" s="3"/>
      <c r="L1070" s="3"/>
    </row>
    <row r="1071" spans="1:12" ht="13" x14ac:dyDescent="0.15">
      <c r="A1071" s="7"/>
      <c r="B1071" s="31"/>
      <c r="C1071" s="31"/>
      <c r="D1071" s="31"/>
      <c r="E1071" s="32"/>
      <c r="F1071" s="32"/>
      <c r="K1071" s="3"/>
      <c r="L1071" s="3"/>
    </row>
    <row r="1072" spans="1:12" ht="13" x14ac:dyDescent="0.15">
      <c r="A1072" s="7"/>
      <c r="B1072" s="31"/>
      <c r="C1072" s="31"/>
      <c r="D1072" s="31"/>
      <c r="E1072" s="32"/>
      <c r="F1072" s="32"/>
      <c r="K1072" s="3"/>
      <c r="L1072" s="3"/>
    </row>
    <row r="1073" spans="1:12" ht="13" x14ac:dyDescent="0.15">
      <c r="A1073" s="7"/>
      <c r="B1073" s="31"/>
      <c r="C1073" s="31"/>
      <c r="D1073" s="31"/>
      <c r="E1073" s="32"/>
      <c r="F1073" s="32"/>
      <c r="K1073" s="3"/>
      <c r="L1073" s="3"/>
    </row>
    <row r="1074" spans="1:12" ht="13" x14ac:dyDescent="0.15">
      <c r="A1074" s="7"/>
      <c r="B1074" s="31"/>
      <c r="C1074" s="31"/>
      <c r="D1074" s="31"/>
      <c r="E1074" s="32"/>
      <c r="F1074" s="32"/>
      <c r="K1074" s="3"/>
      <c r="L1074" s="3"/>
    </row>
    <row r="1075" spans="1:12" ht="13" x14ac:dyDescent="0.15">
      <c r="A1075" s="7"/>
      <c r="B1075" s="31"/>
      <c r="C1075" s="31"/>
      <c r="D1075" s="31"/>
      <c r="E1075" s="32"/>
      <c r="F1075" s="32"/>
      <c r="K1075" s="3"/>
      <c r="L1075" s="3"/>
    </row>
    <row r="1076" spans="1:12" ht="13" x14ac:dyDescent="0.15">
      <c r="A1076" s="7"/>
      <c r="B1076" s="31"/>
      <c r="C1076" s="31"/>
      <c r="D1076" s="31"/>
      <c r="E1076" s="32"/>
      <c r="F1076" s="32"/>
      <c r="K1076" s="3"/>
      <c r="L1076" s="3"/>
    </row>
    <row r="1077" spans="1:12" ht="13" x14ac:dyDescent="0.15">
      <c r="A1077" s="7"/>
      <c r="B1077" s="31"/>
      <c r="C1077" s="31"/>
      <c r="D1077" s="31"/>
      <c r="E1077" s="32"/>
      <c r="F1077" s="32"/>
      <c r="K1077" s="3"/>
      <c r="L1077" s="3"/>
    </row>
    <row r="1078" spans="1:12" ht="13" x14ac:dyDescent="0.15">
      <c r="A1078" s="7"/>
      <c r="B1078" s="31"/>
      <c r="C1078" s="31"/>
      <c r="D1078" s="31"/>
      <c r="E1078" s="32"/>
      <c r="F1078" s="32"/>
      <c r="K1078" s="3"/>
      <c r="L1078" s="3"/>
    </row>
    <row r="1079" spans="1:12" ht="13" x14ac:dyDescent="0.15">
      <c r="A1079" s="7"/>
      <c r="B1079" s="31"/>
      <c r="C1079" s="31"/>
      <c r="D1079" s="31"/>
      <c r="E1079" s="32"/>
      <c r="F1079" s="32"/>
      <c r="K1079" s="3"/>
      <c r="L1079" s="3"/>
    </row>
    <row r="1080" spans="1:12" ht="13" x14ac:dyDescent="0.15">
      <c r="A1080" s="7"/>
      <c r="B1080" s="31"/>
      <c r="C1080" s="31"/>
      <c r="D1080" s="31"/>
      <c r="E1080" s="32"/>
      <c r="F1080" s="32"/>
      <c r="K1080" s="3"/>
      <c r="L1080" s="3"/>
    </row>
    <row r="1081" spans="1:12" ht="13" x14ac:dyDescent="0.15">
      <c r="A1081" s="7"/>
      <c r="B1081" s="31"/>
      <c r="C1081" s="31"/>
      <c r="D1081" s="31"/>
      <c r="E1081" s="32"/>
      <c r="F1081" s="32"/>
      <c r="K1081" s="3"/>
      <c r="L1081" s="3"/>
    </row>
    <row r="1082" spans="1:12" ht="13" x14ac:dyDescent="0.15">
      <c r="A1082" s="7"/>
      <c r="B1082" s="31"/>
      <c r="C1082" s="31"/>
      <c r="D1082" s="31"/>
      <c r="E1082" s="32"/>
      <c r="F1082" s="32"/>
      <c r="K1082" s="3"/>
      <c r="L1082" s="3"/>
    </row>
    <row r="1083" spans="1:12" ht="13" x14ac:dyDescent="0.15">
      <c r="A1083" s="7"/>
      <c r="B1083" s="31"/>
      <c r="C1083" s="31"/>
      <c r="D1083" s="31"/>
      <c r="E1083" s="32"/>
      <c r="F1083" s="32"/>
      <c r="K1083" s="3"/>
      <c r="L1083" s="3"/>
    </row>
    <row r="1084" spans="1:12" ht="13" x14ac:dyDescent="0.15">
      <c r="A1084" s="7"/>
      <c r="B1084" s="31"/>
      <c r="C1084" s="31"/>
      <c r="D1084" s="31"/>
      <c r="E1084" s="32"/>
      <c r="F1084" s="32"/>
      <c r="K1084" s="3"/>
      <c r="L1084" s="3"/>
    </row>
    <row r="1085" spans="1:12" ht="13" x14ac:dyDescent="0.15">
      <c r="A1085" s="7"/>
      <c r="B1085" s="31"/>
      <c r="C1085" s="31"/>
      <c r="D1085" s="31"/>
      <c r="E1085" s="32"/>
      <c r="F1085" s="32"/>
      <c r="K1085" s="3"/>
      <c r="L1085" s="3"/>
    </row>
    <row r="1086" spans="1:12" ht="13" x14ac:dyDescent="0.15">
      <c r="A1086" s="7"/>
      <c r="B1086" s="31"/>
      <c r="C1086" s="31"/>
      <c r="D1086" s="31"/>
      <c r="E1086" s="32"/>
      <c r="F1086" s="32"/>
      <c r="K1086" s="3"/>
      <c r="L1086" s="3"/>
    </row>
    <row r="1087" spans="1:12" ht="13" x14ac:dyDescent="0.15">
      <c r="A1087" s="7"/>
      <c r="B1087" s="31"/>
      <c r="C1087" s="31"/>
      <c r="D1087" s="31"/>
      <c r="E1087" s="32"/>
      <c r="F1087" s="32"/>
      <c r="K1087" s="3"/>
      <c r="L1087" s="3"/>
    </row>
    <row r="1088" spans="1:12" ht="13" x14ac:dyDescent="0.15">
      <c r="A1088" s="7"/>
      <c r="B1088" s="31"/>
      <c r="C1088" s="31"/>
      <c r="D1088" s="31"/>
      <c r="E1088" s="32"/>
      <c r="F1088" s="32"/>
      <c r="K1088" s="3"/>
      <c r="L1088" s="3"/>
    </row>
    <row r="1089" spans="1:12" ht="13" x14ac:dyDescent="0.15">
      <c r="A1089" s="7"/>
      <c r="B1089" s="31"/>
      <c r="C1089" s="31"/>
      <c r="D1089" s="31"/>
      <c r="E1089" s="32"/>
      <c r="F1089" s="32"/>
      <c r="K1089" s="3"/>
      <c r="L1089" s="3"/>
    </row>
    <row r="1090" spans="1:12" ht="13" x14ac:dyDescent="0.15">
      <c r="A1090" s="7"/>
      <c r="B1090" s="31"/>
      <c r="C1090" s="31"/>
      <c r="D1090" s="31"/>
      <c r="E1090" s="32"/>
      <c r="F1090" s="32"/>
      <c r="K1090" s="3"/>
      <c r="L1090" s="3"/>
    </row>
    <row r="1091" spans="1:12" ht="13" x14ac:dyDescent="0.15">
      <c r="A1091" s="7"/>
      <c r="B1091" s="31"/>
      <c r="C1091" s="31"/>
      <c r="D1091" s="31"/>
      <c r="E1091" s="32"/>
      <c r="F1091" s="32"/>
      <c r="K1091" s="3"/>
      <c r="L1091" s="3"/>
    </row>
    <row r="1092" spans="1:12" ht="13" x14ac:dyDescent="0.15">
      <c r="A1092" s="7"/>
      <c r="B1092" s="31"/>
      <c r="C1092" s="31"/>
      <c r="D1092" s="31"/>
      <c r="E1092" s="32"/>
      <c r="F1092" s="32"/>
      <c r="K1092" s="3"/>
      <c r="L1092" s="3"/>
    </row>
    <row r="1093" spans="1:12" ht="13" x14ac:dyDescent="0.15">
      <c r="A1093" s="7"/>
      <c r="B1093" s="31"/>
      <c r="C1093" s="31"/>
      <c r="D1093" s="31"/>
      <c r="E1093" s="32"/>
      <c r="F1093" s="32"/>
      <c r="K1093" s="3"/>
      <c r="L1093" s="3"/>
    </row>
    <row r="1094" spans="1:12" ht="13" x14ac:dyDescent="0.15">
      <c r="A1094" s="7"/>
      <c r="B1094" s="31"/>
      <c r="C1094" s="31"/>
      <c r="D1094" s="31"/>
      <c r="E1094" s="32"/>
      <c r="F1094" s="32"/>
      <c r="K1094" s="3"/>
      <c r="L1094" s="3"/>
    </row>
    <row r="1095" spans="1:12" ht="13" x14ac:dyDescent="0.15">
      <c r="A1095" s="7"/>
      <c r="B1095" s="31"/>
      <c r="C1095" s="31"/>
      <c r="D1095" s="31"/>
      <c r="E1095" s="32"/>
      <c r="F1095" s="32"/>
      <c r="K1095" s="3"/>
      <c r="L1095" s="3"/>
    </row>
    <row r="1096" spans="1:12" ht="13" x14ac:dyDescent="0.15">
      <c r="A1096" s="7"/>
      <c r="B1096" s="31"/>
      <c r="C1096" s="31"/>
      <c r="D1096" s="31"/>
      <c r="E1096" s="32"/>
      <c r="F1096" s="32"/>
      <c r="K1096" s="3"/>
      <c r="L1096" s="3"/>
    </row>
    <row r="1097" spans="1:12" ht="13" x14ac:dyDescent="0.15">
      <c r="A1097" s="7"/>
      <c r="B1097" s="31"/>
      <c r="C1097" s="31"/>
      <c r="D1097" s="31"/>
      <c r="E1097" s="32"/>
      <c r="F1097" s="32"/>
      <c r="K1097" s="3"/>
      <c r="L1097" s="3"/>
    </row>
    <row r="1098" spans="1:12" ht="13" x14ac:dyDescent="0.15">
      <c r="A1098" s="7"/>
      <c r="B1098" s="31"/>
      <c r="C1098" s="31"/>
      <c r="D1098" s="31"/>
      <c r="E1098" s="32"/>
      <c r="F1098" s="32"/>
      <c r="K1098" s="3"/>
      <c r="L1098" s="3"/>
    </row>
    <row r="1099" spans="1:12" ht="13" x14ac:dyDescent="0.15">
      <c r="A1099" s="7"/>
      <c r="B1099" s="31"/>
      <c r="C1099" s="31"/>
      <c r="D1099" s="31"/>
      <c r="E1099" s="32"/>
      <c r="F1099" s="32"/>
      <c r="K1099" s="3"/>
      <c r="L1099" s="3"/>
    </row>
    <row r="1100" spans="1:12" ht="13" x14ac:dyDescent="0.15">
      <c r="A1100" s="7"/>
      <c r="B1100" s="31"/>
      <c r="C1100" s="31"/>
      <c r="D1100" s="31"/>
      <c r="E1100" s="32"/>
      <c r="F1100" s="32"/>
      <c r="K1100" s="3"/>
      <c r="L1100" s="3"/>
    </row>
    <row r="1101" spans="1:12" ht="13" x14ac:dyDescent="0.15">
      <c r="A1101" s="7"/>
      <c r="B1101" s="31"/>
      <c r="C1101" s="31"/>
      <c r="D1101" s="31"/>
      <c r="E1101" s="32"/>
      <c r="F1101" s="32"/>
      <c r="K1101" s="3"/>
      <c r="L1101" s="3"/>
    </row>
    <row r="1102" spans="1:12" ht="13" x14ac:dyDescent="0.15">
      <c r="A1102" s="7"/>
      <c r="B1102" s="31"/>
      <c r="C1102" s="31"/>
      <c r="D1102" s="31"/>
      <c r="E1102" s="32"/>
      <c r="F1102" s="32"/>
      <c r="K1102" s="3"/>
      <c r="L1102" s="3"/>
    </row>
    <row r="1103" spans="1:12" ht="13" x14ac:dyDescent="0.15">
      <c r="A1103" s="7"/>
      <c r="B1103" s="31"/>
      <c r="C1103" s="31"/>
      <c r="D1103" s="31"/>
      <c r="E1103" s="32"/>
      <c r="F1103" s="32"/>
      <c r="K1103" s="3"/>
      <c r="L1103" s="3"/>
    </row>
    <row r="1104" spans="1:12" ht="13" x14ac:dyDescent="0.15">
      <c r="A1104" s="7"/>
      <c r="B1104" s="31"/>
      <c r="C1104" s="31"/>
      <c r="D1104" s="31"/>
      <c r="E1104" s="32"/>
      <c r="F1104" s="32"/>
      <c r="K1104" s="3"/>
      <c r="L1104" s="3"/>
    </row>
    <row r="1105" spans="1:12" ht="13" x14ac:dyDescent="0.15">
      <c r="A1105" s="7"/>
      <c r="B1105" s="31"/>
      <c r="C1105" s="31"/>
      <c r="D1105" s="31"/>
      <c r="E1105" s="32"/>
      <c r="F1105" s="32"/>
      <c r="K1105" s="3"/>
      <c r="L1105" s="3"/>
    </row>
    <row r="1106" spans="1:12" ht="13" x14ac:dyDescent="0.15">
      <c r="A1106" s="7"/>
      <c r="B1106" s="31"/>
      <c r="C1106" s="31"/>
      <c r="D1106" s="31"/>
      <c r="E1106" s="32"/>
      <c r="F1106" s="32"/>
      <c r="K1106" s="3"/>
      <c r="L1106" s="3"/>
    </row>
    <row r="1107" spans="1:12" ht="13" x14ac:dyDescent="0.15">
      <c r="A1107" s="7"/>
      <c r="B1107" s="31"/>
      <c r="C1107" s="31"/>
      <c r="D1107" s="31"/>
      <c r="E1107" s="32"/>
      <c r="F1107" s="32"/>
      <c r="K1107" s="3"/>
      <c r="L1107" s="3"/>
    </row>
    <row r="1108" spans="1:12" ht="13" x14ac:dyDescent="0.15">
      <c r="A1108" s="7"/>
      <c r="B1108" s="31"/>
      <c r="C1108" s="31"/>
      <c r="D1108" s="31"/>
      <c r="E1108" s="32"/>
      <c r="F1108" s="32"/>
      <c r="K1108" s="3"/>
      <c r="L1108" s="3"/>
    </row>
    <row r="1109" spans="1:12" ht="13" x14ac:dyDescent="0.15">
      <c r="A1109" s="7"/>
      <c r="B1109" s="31"/>
      <c r="C1109" s="31"/>
      <c r="D1109" s="31"/>
      <c r="E1109" s="32"/>
      <c r="F1109" s="32"/>
      <c r="K1109" s="3"/>
      <c r="L1109" s="3"/>
    </row>
    <row r="1110" spans="1:12" ht="13" x14ac:dyDescent="0.15">
      <c r="A1110" s="7"/>
      <c r="B1110" s="31"/>
      <c r="C1110" s="31"/>
      <c r="D1110" s="31"/>
      <c r="E1110" s="32"/>
      <c r="F1110" s="32"/>
      <c r="K1110" s="3"/>
      <c r="L1110" s="3"/>
    </row>
    <row r="1111" spans="1:12" ht="13" x14ac:dyDescent="0.15">
      <c r="A1111" s="7"/>
      <c r="B1111" s="31"/>
      <c r="C1111" s="31"/>
      <c r="D1111" s="31"/>
      <c r="E1111" s="32"/>
      <c r="F1111" s="32"/>
      <c r="K1111" s="3"/>
      <c r="L1111" s="3"/>
    </row>
    <row r="1112" spans="1:12" ht="13" x14ac:dyDescent="0.15">
      <c r="A1112" s="7"/>
      <c r="B1112" s="31"/>
      <c r="C1112" s="31"/>
      <c r="D1112" s="31"/>
      <c r="E1112" s="32"/>
      <c r="F1112" s="32"/>
      <c r="K1112" s="3"/>
      <c r="L1112" s="3"/>
    </row>
    <row r="1113" spans="1:12" ht="13" x14ac:dyDescent="0.15">
      <c r="A1113" s="7"/>
      <c r="B1113" s="31"/>
      <c r="C1113" s="31"/>
      <c r="D1113" s="31"/>
      <c r="E1113" s="32"/>
      <c r="F1113" s="32"/>
      <c r="K1113" s="3"/>
      <c r="L1113" s="3"/>
    </row>
    <row r="1114" spans="1:12" ht="13" x14ac:dyDescent="0.15">
      <c r="A1114" s="7"/>
      <c r="B1114" s="31"/>
      <c r="C1114" s="31"/>
      <c r="D1114" s="31"/>
      <c r="E1114" s="32"/>
      <c r="F1114" s="32"/>
      <c r="K1114" s="3"/>
      <c r="L1114" s="3"/>
    </row>
    <row r="1115" spans="1:12" ht="13" x14ac:dyDescent="0.15">
      <c r="A1115" s="7"/>
      <c r="B1115" s="31"/>
      <c r="C1115" s="31"/>
      <c r="D1115" s="31"/>
      <c r="E1115" s="32"/>
      <c r="F1115" s="32"/>
      <c r="K1115" s="3"/>
      <c r="L1115" s="3"/>
    </row>
    <row r="1116" spans="1:12" ht="13" x14ac:dyDescent="0.15">
      <c r="A1116" s="7"/>
      <c r="B1116" s="31"/>
      <c r="C1116" s="31"/>
      <c r="D1116" s="31"/>
      <c r="E1116" s="32"/>
      <c r="F1116" s="32"/>
      <c r="K1116" s="3"/>
      <c r="L1116" s="3"/>
    </row>
    <row r="1117" spans="1:12" ht="13" x14ac:dyDescent="0.15">
      <c r="A1117" s="7"/>
      <c r="B1117" s="31"/>
      <c r="C1117" s="31"/>
      <c r="D1117" s="31"/>
      <c r="E1117" s="32"/>
      <c r="F1117" s="32"/>
      <c r="K1117" s="3"/>
      <c r="L1117" s="3"/>
    </row>
    <row r="1118" spans="1:12" ht="13" x14ac:dyDescent="0.15">
      <c r="A1118" s="7"/>
      <c r="B1118" s="31"/>
      <c r="C1118" s="31"/>
      <c r="D1118" s="31"/>
      <c r="E1118" s="32"/>
      <c r="F1118" s="32"/>
      <c r="K1118" s="3"/>
      <c r="L1118" s="3"/>
    </row>
    <row r="1119" spans="1:12" ht="13" x14ac:dyDescent="0.15">
      <c r="A1119" s="7"/>
      <c r="B1119" s="31"/>
      <c r="C1119" s="31"/>
      <c r="D1119" s="31"/>
      <c r="E1119" s="32"/>
      <c r="F1119" s="32"/>
      <c r="K1119" s="3"/>
      <c r="L1119" s="3"/>
    </row>
    <row r="1120" spans="1:12" ht="13" x14ac:dyDescent="0.15">
      <c r="A1120" s="7"/>
      <c r="B1120" s="31"/>
      <c r="C1120" s="31"/>
      <c r="D1120" s="31"/>
      <c r="E1120" s="32"/>
      <c r="F1120" s="32"/>
      <c r="K1120" s="3"/>
      <c r="L1120" s="3"/>
    </row>
    <row r="1121" spans="1:12" ht="13" x14ac:dyDescent="0.15">
      <c r="A1121" s="7"/>
      <c r="B1121" s="31"/>
      <c r="C1121" s="31"/>
      <c r="D1121" s="31"/>
      <c r="E1121" s="32"/>
      <c r="F1121" s="32"/>
      <c r="K1121" s="3"/>
      <c r="L1121" s="3"/>
    </row>
    <row r="1122" spans="1:12" ht="13" x14ac:dyDescent="0.15">
      <c r="A1122" s="7"/>
      <c r="B1122" s="31"/>
      <c r="C1122" s="31"/>
      <c r="D1122" s="31"/>
      <c r="E1122" s="32"/>
      <c r="F1122" s="32"/>
      <c r="K1122" s="3"/>
      <c r="L1122" s="3"/>
    </row>
    <row r="1123" spans="1:12" ht="13" x14ac:dyDescent="0.15">
      <c r="A1123" s="7"/>
      <c r="B1123" s="31"/>
      <c r="C1123" s="31"/>
      <c r="D1123" s="31"/>
      <c r="E1123" s="32"/>
      <c r="F1123" s="32"/>
      <c r="K1123" s="3"/>
      <c r="L1123" s="3"/>
    </row>
    <row r="1124" spans="1:12" ht="13" x14ac:dyDescent="0.15">
      <c r="A1124" s="7"/>
      <c r="B1124" s="31"/>
      <c r="C1124" s="31"/>
      <c r="D1124" s="31"/>
      <c r="E1124" s="32"/>
      <c r="F1124" s="32"/>
      <c r="K1124" s="3"/>
      <c r="L1124" s="3"/>
    </row>
    <row r="1125" spans="1:12" ht="13" x14ac:dyDescent="0.15">
      <c r="A1125" s="7"/>
      <c r="B1125" s="31"/>
      <c r="C1125" s="31"/>
      <c r="D1125" s="31"/>
      <c r="E1125" s="32"/>
      <c r="F1125" s="32"/>
      <c r="K1125" s="3"/>
      <c r="L1125" s="3"/>
    </row>
    <row r="1126" spans="1:12" ht="13" x14ac:dyDescent="0.15">
      <c r="A1126" s="7"/>
      <c r="B1126" s="31"/>
      <c r="C1126" s="31"/>
      <c r="D1126" s="31"/>
      <c r="E1126" s="32"/>
      <c r="F1126" s="32"/>
      <c r="K1126" s="3"/>
      <c r="L1126" s="3"/>
    </row>
    <row r="1127" spans="1:12" ht="13" x14ac:dyDescent="0.15">
      <c r="A1127" s="7"/>
      <c r="B1127" s="31"/>
      <c r="C1127" s="31"/>
      <c r="D1127" s="31"/>
      <c r="E1127" s="32"/>
      <c r="F1127" s="32"/>
      <c r="K1127" s="3"/>
      <c r="L1127" s="3"/>
    </row>
    <row r="1128" spans="1:12" ht="13" x14ac:dyDescent="0.15">
      <c r="A1128" s="7"/>
      <c r="B1128" s="31"/>
      <c r="C1128" s="31"/>
      <c r="D1128" s="31"/>
      <c r="E1128" s="32"/>
      <c r="F1128" s="32"/>
      <c r="K1128" s="3"/>
      <c r="L1128" s="3"/>
    </row>
    <row r="1129" spans="1:12" ht="13" x14ac:dyDescent="0.15">
      <c r="A1129" s="7"/>
      <c r="B1129" s="31"/>
      <c r="C1129" s="31"/>
      <c r="D1129" s="31"/>
      <c r="E1129" s="32"/>
      <c r="F1129" s="32"/>
      <c r="K1129" s="3"/>
      <c r="L1129" s="3"/>
    </row>
    <row r="1130" spans="1:12" ht="13" x14ac:dyDescent="0.15">
      <c r="A1130" s="7"/>
      <c r="B1130" s="31"/>
      <c r="C1130" s="31"/>
      <c r="D1130" s="31"/>
      <c r="E1130" s="32"/>
      <c r="F1130" s="32"/>
      <c r="K1130" s="3"/>
      <c r="L1130" s="3"/>
    </row>
    <row r="1131" spans="1:12" ht="13" x14ac:dyDescent="0.15">
      <c r="A1131" s="7"/>
      <c r="B1131" s="31"/>
      <c r="C1131" s="31"/>
      <c r="D1131" s="31"/>
      <c r="E1131" s="32"/>
      <c r="F1131" s="32"/>
      <c r="K1131" s="3"/>
      <c r="L1131" s="3"/>
    </row>
    <row r="1132" spans="1:12" ht="13" x14ac:dyDescent="0.15">
      <c r="A1132" s="7"/>
      <c r="B1132" s="31"/>
      <c r="C1132" s="31"/>
      <c r="D1132" s="31"/>
      <c r="E1132" s="32"/>
      <c r="F1132" s="32"/>
      <c r="K1132" s="3"/>
      <c r="L1132" s="3"/>
    </row>
    <row r="1133" spans="1:12" ht="13" x14ac:dyDescent="0.15">
      <c r="A1133" s="7"/>
      <c r="B1133" s="31"/>
      <c r="C1133" s="31"/>
      <c r="D1133" s="31"/>
      <c r="E1133" s="32"/>
      <c r="F1133" s="32"/>
      <c r="K1133" s="3"/>
      <c r="L1133" s="3"/>
    </row>
    <row r="1134" spans="1:12" ht="13" x14ac:dyDescent="0.15">
      <c r="A1134" s="7"/>
      <c r="B1134" s="31"/>
      <c r="C1134" s="31"/>
      <c r="D1134" s="31"/>
      <c r="E1134" s="32"/>
      <c r="F1134" s="32"/>
      <c r="K1134" s="3"/>
      <c r="L1134" s="3"/>
    </row>
    <row r="1135" spans="1:12" ht="13" x14ac:dyDescent="0.15">
      <c r="A1135" s="7"/>
      <c r="B1135" s="31"/>
      <c r="C1135" s="31"/>
      <c r="D1135" s="31"/>
      <c r="E1135" s="32"/>
      <c r="F1135" s="32"/>
      <c r="K1135" s="3"/>
      <c r="L1135" s="3"/>
    </row>
    <row r="1136" spans="1:12" ht="13" x14ac:dyDescent="0.15">
      <c r="A1136" s="7"/>
      <c r="B1136" s="31"/>
      <c r="C1136" s="31"/>
      <c r="D1136" s="31"/>
      <c r="E1136" s="32"/>
      <c r="F1136" s="32"/>
      <c r="K1136" s="3"/>
      <c r="L1136" s="3"/>
    </row>
    <row r="1137" spans="1:12" ht="13" x14ac:dyDescent="0.15">
      <c r="A1137" s="7"/>
      <c r="B1137" s="31"/>
      <c r="C1137" s="31"/>
      <c r="D1137" s="31"/>
      <c r="E1137" s="32"/>
      <c r="F1137" s="32"/>
      <c r="K1137" s="3"/>
      <c r="L1137" s="3"/>
    </row>
    <row r="1138" spans="1:12" ht="13" x14ac:dyDescent="0.15">
      <c r="A1138" s="7"/>
      <c r="B1138" s="31"/>
      <c r="C1138" s="31"/>
      <c r="D1138" s="31"/>
      <c r="E1138" s="32"/>
      <c r="F1138" s="32"/>
      <c r="K1138" s="3"/>
      <c r="L1138" s="3"/>
    </row>
    <row r="1139" spans="1:12" ht="13" x14ac:dyDescent="0.15">
      <c r="A1139" s="7"/>
      <c r="B1139" s="31"/>
      <c r="C1139" s="31"/>
      <c r="D1139" s="31"/>
      <c r="E1139" s="32"/>
      <c r="F1139" s="32"/>
      <c r="K1139" s="3"/>
      <c r="L1139" s="3"/>
    </row>
    <row r="1140" spans="1:12" ht="13" x14ac:dyDescent="0.15">
      <c r="A1140" s="7"/>
      <c r="B1140" s="31"/>
      <c r="C1140" s="31"/>
      <c r="D1140" s="31"/>
      <c r="E1140" s="32"/>
      <c r="F1140" s="32"/>
      <c r="K1140" s="3"/>
      <c r="L1140" s="3"/>
    </row>
    <row r="1141" spans="1:12" ht="13" x14ac:dyDescent="0.15">
      <c r="A1141" s="7"/>
      <c r="B1141" s="31"/>
      <c r="C1141" s="31"/>
      <c r="D1141" s="31"/>
      <c r="E1141" s="32"/>
      <c r="F1141" s="32"/>
      <c r="K1141" s="3"/>
      <c r="L1141" s="3"/>
    </row>
    <row r="1142" spans="1:12" ht="13" x14ac:dyDescent="0.15">
      <c r="A1142" s="7"/>
      <c r="B1142" s="31"/>
      <c r="C1142" s="31"/>
      <c r="D1142" s="31"/>
      <c r="E1142" s="32"/>
      <c r="F1142" s="32"/>
      <c r="K1142" s="3"/>
      <c r="L1142" s="3"/>
    </row>
    <row r="1143" spans="1:12" ht="13" x14ac:dyDescent="0.15">
      <c r="A1143" s="7"/>
      <c r="B1143" s="31"/>
      <c r="C1143" s="31"/>
      <c r="D1143" s="31"/>
      <c r="E1143" s="32"/>
      <c r="F1143" s="32"/>
      <c r="K1143" s="3"/>
      <c r="L1143" s="3"/>
    </row>
    <row r="1144" spans="1:12" ht="13" x14ac:dyDescent="0.15">
      <c r="A1144" s="7"/>
      <c r="B1144" s="31"/>
      <c r="C1144" s="31"/>
      <c r="D1144" s="31"/>
      <c r="E1144" s="32"/>
      <c r="F1144" s="32"/>
      <c r="K1144" s="3"/>
      <c r="L1144" s="3"/>
    </row>
    <row r="1145" spans="1:12" ht="13" x14ac:dyDescent="0.15">
      <c r="A1145" s="7"/>
      <c r="B1145" s="31"/>
      <c r="C1145" s="31"/>
      <c r="D1145" s="31"/>
      <c r="E1145" s="32"/>
      <c r="F1145" s="32"/>
      <c r="K1145" s="3"/>
      <c r="L1145" s="3"/>
    </row>
    <row r="1146" spans="1:12" ht="13" x14ac:dyDescent="0.15">
      <c r="A1146" s="7"/>
      <c r="B1146" s="31"/>
      <c r="C1146" s="31"/>
      <c r="D1146" s="31"/>
      <c r="E1146" s="32"/>
      <c r="F1146" s="32"/>
      <c r="K1146" s="3"/>
      <c r="L1146" s="3"/>
    </row>
    <row r="1147" spans="1:12" ht="13" x14ac:dyDescent="0.15">
      <c r="A1147" s="7"/>
      <c r="B1147" s="31"/>
      <c r="C1147" s="31"/>
      <c r="D1147" s="31"/>
      <c r="E1147" s="32"/>
      <c r="F1147" s="32"/>
      <c r="K1147" s="3"/>
      <c r="L1147" s="3"/>
    </row>
    <row r="1148" spans="1:12" ht="13" x14ac:dyDescent="0.15">
      <c r="A1148" s="7"/>
      <c r="B1148" s="31"/>
      <c r="C1148" s="31"/>
      <c r="D1148" s="31"/>
      <c r="E1148" s="32"/>
      <c r="F1148" s="32"/>
      <c r="K1148" s="3"/>
      <c r="L1148" s="3"/>
    </row>
    <row r="1149" spans="1:12" ht="13" x14ac:dyDescent="0.15">
      <c r="A1149" s="7"/>
      <c r="B1149" s="31"/>
      <c r="C1149" s="31"/>
      <c r="D1149" s="31"/>
      <c r="E1149" s="32"/>
      <c r="F1149" s="32"/>
      <c r="K1149" s="3"/>
      <c r="L1149" s="3"/>
    </row>
    <row r="1150" spans="1:12" ht="13" x14ac:dyDescent="0.15">
      <c r="A1150" s="7"/>
      <c r="B1150" s="31"/>
      <c r="C1150" s="31"/>
      <c r="D1150" s="31"/>
      <c r="E1150" s="32"/>
      <c r="F1150" s="32"/>
      <c r="K1150" s="3"/>
      <c r="L1150" s="3"/>
    </row>
    <row r="1151" spans="1:12" ht="13" x14ac:dyDescent="0.15">
      <c r="A1151" s="7"/>
      <c r="B1151" s="31"/>
      <c r="C1151" s="31"/>
      <c r="D1151" s="31"/>
      <c r="E1151" s="32"/>
      <c r="F1151" s="32"/>
      <c r="K1151" s="3"/>
      <c r="L1151" s="3"/>
    </row>
    <row r="1152" spans="1:12" ht="13" x14ac:dyDescent="0.15">
      <c r="A1152" s="7"/>
      <c r="B1152" s="31"/>
      <c r="C1152" s="31"/>
      <c r="D1152" s="31"/>
      <c r="E1152" s="32"/>
      <c r="F1152" s="32"/>
      <c r="K1152" s="3"/>
      <c r="L1152" s="3"/>
    </row>
    <row r="1153" spans="1:12" ht="13" x14ac:dyDescent="0.15">
      <c r="A1153" s="7"/>
      <c r="B1153" s="31"/>
      <c r="C1153" s="31"/>
      <c r="D1153" s="31"/>
      <c r="E1153" s="32"/>
      <c r="F1153" s="32"/>
      <c r="K1153" s="3"/>
      <c r="L1153" s="3"/>
    </row>
    <row r="1154" spans="1:12" ht="13" x14ac:dyDescent="0.15">
      <c r="A1154" s="7"/>
      <c r="B1154" s="31"/>
      <c r="C1154" s="31"/>
      <c r="D1154" s="31"/>
      <c r="E1154" s="32"/>
      <c r="F1154" s="32"/>
      <c r="K1154" s="3"/>
      <c r="L1154" s="3"/>
    </row>
    <row r="1155" spans="1:12" ht="13" x14ac:dyDescent="0.15">
      <c r="A1155" s="7"/>
      <c r="B1155" s="31"/>
      <c r="C1155" s="31"/>
      <c r="D1155" s="31"/>
      <c r="E1155" s="32"/>
      <c r="F1155" s="32"/>
      <c r="K1155" s="3"/>
      <c r="L1155" s="3"/>
    </row>
    <row r="1156" spans="1:12" ht="13" x14ac:dyDescent="0.15">
      <c r="A1156" s="7"/>
      <c r="B1156" s="31"/>
      <c r="C1156" s="31"/>
      <c r="D1156" s="31"/>
      <c r="E1156" s="32"/>
      <c r="F1156" s="32"/>
      <c r="K1156" s="3"/>
      <c r="L1156" s="3"/>
    </row>
  </sheetData>
  <hyperlinks>
    <hyperlink ref="F1" r:id="rId1" xr:uid="{00000000-0004-0000-0100-000000000000}"/>
    <hyperlink ref="G1" r:id="rId2" xr:uid="{00000000-0004-0000-0100-000001000000}"/>
    <hyperlink ref="K1" r:id="rId3" xr:uid="{00000000-0004-0000-0100-000002000000}"/>
    <hyperlink ref="L1" r:id="rId4" xr:uid="{00000000-0004-0000-0100-000003000000}"/>
    <hyperlink ref="M1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01"/>
  <sheetViews>
    <sheetView topLeftCell="A160" workbookViewId="0">
      <selection activeCell="A35" sqref="A35"/>
    </sheetView>
  </sheetViews>
  <sheetFormatPr baseColWidth="10" defaultColWidth="12.6640625" defaultRowHeight="15.75" customHeight="1" x14ac:dyDescent="0.15"/>
  <sheetData>
    <row r="1" spans="1:16" ht="39" customHeight="1" x14ac:dyDescent="0.15">
      <c r="A1" s="36" t="s">
        <v>287</v>
      </c>
      <c r="B1" s="11" t="s">
        <v>270</v>
      </c>
      <c r="C1" s="11" t="s">
        <v>5</v>
      </c>
      <c r="D1" s="11" t="s">
        <v>276</v>
      </c>
      <c r="E1" s="7" t="s">
        <v>271</v>
      </c>
      <c r="F1" s="4" t="s">
        <v>239</v>
      </c>
      <c r="G1" s="4" t="s">
        <v>240</v>
      </c>
      <c r="H1" s="37" t="s">
        <v>241</v>
      </c>
      <c r="I1" s="37" t="s">
        <v>242</v>
      </c>
      <c r="K1" s="4" t="s">
        <v>243</v>
      </c>
      <c r="L1" s="4" t="s">
        <v>244</v>
      </c>
      <c r="N1" s="7"/>
      <c r="O1" s="7"/>
      <c r="P1" s="4" t="s">
        <v>245</v>
      </c>
    </row>
    <row r="2" spans="1:16" ht="60" customHeight="1" x14ac:dyDescent="0.15">
      <c r="A2" s="7"/>
      <c r="E2" s="7"/>
      <c r="F2" s="7" t="s">
        <v>246</v>
      </c>
      <c r="G2" s="7" t="s">
        <v>246</v>
      </c>
      <c r="H2" s="38" t="s">
        <v>247</v>
      </c>
      <c r="I2" s="38" t="s">
        <v>248</v>
      </c>
      <c r="K2" s="7" t="s">
        <v>249</v>
      </c>
      <c r="L2" s="7" t="s">
        <v>250</v>
      </c>
      <c r="N2" s="7" t="s">
        <v>251</v>
      </c>
      <c r="O2" s="7" t="s">
        <v>252</v>
      </c>
      <c r="P2" s="7" t="s">
        <v>253</v>
      </c>
    </row>
    <row r="3" spans="1:16" ht="15.75" customHeight="1" x14ac:dyDescent="0.15">
      <c r="A3" s="7" t="s">
        <v>13</v>
      </c>
      <c r="B3" s="31">
        <f t="shared" ref="B3:B34" si="0">IF(COUNTA(N3:P3) = 0, "", IFERROR(AVERAGEIF(N3:P3, "&lt;&gt;"), ""))</f>
        <v>47136856343.713341</v>
      </c>
      <c r="C3" s="31">
        <f ca="1">IFERROR(__xludf.DUMMYFUNCTION("IFERROR(STDEV.S(FILTER(M3:O3, M3:O3&lt;&gt;"""")))"),32339343.0609122)</f>
        <v>32339343.060912199</v>
      </c>
      <c r="D3" s="49">
        <v>6.8607339499999998E-4</v>
      </c>
      <c r="E3" s="35"/>
      <c r="F3" s="35">
        <v>1178.74</v>
      </c>
      <c r="G3" s="35">
        <v>1179</v>
      </c>
      <c r="H3" s="39">
        <v>1439.3</v>
      </c>
      <c r="I3" s="40"/>
      <c r="K3" s="7">
        <v>32792520</v>
      </c>
      <c r="L3" s="7">
        <v>40000411</v>
      </c>
      <c r="N3" s="7">
        <f t="shared" ref="N3:N34" si="1">IF(OR(ISBLANK(F3), ISBLANK(L3)), "", F3 * L3)</f>
        <v>47150084462.139999</v>
      </c>
      <c r="O3" s="7">
        <f t="shared" ref="O3:O34" si="2">IF(OR(ISBLANK(G3), ISBLANK(L3)), "", G3 * L3)</f>
        <v>47160484569</v>
      </c>
      <c r="P3" s="41">
        <v>47100000000</v>
      </c>
    </row>
    <row r="4" spans="1:16" ht="15.75" customHeight="1" x14ac:dyDescent="0.15">
      <c r="A4" s="7" t="s">
        <v>14</v>
      </c>
      <c r="B4" s="31">
        <f t="shared" si="0"/>
        <v>27141955687.346668</v>
      </c>
      <c r="C4" s="31">
        <f ca="1">IFERROR(__xludf.DUMMYFUNCTION("IFERROR(STDEV.S(FILTER(M4:O4, M4:O4&lt;&gt;"""")))"),209540151.619366)</f>
        <v>209540151.61936599</v>
      </c>
      <c r="D4" s="49">
        <v>7.7201567209999999E-3</v>
      </c>
      <c r="E4" s="16"/>
      <c r="F4" s="16">
        <v>9567.2800000000007</v>
      </c>
      <c r="G4" s="16">
        <v>9567</v>
      </c>
      <c r="H4" s="39">
        <v>9310.7999999999993</v>
      </c>
      <c r="I4" s="40"/>
      <c r="K4" s="7">
        <v>2889100</v>
      </c>
      <c r="L4" s="7">
        <v>2849643</v>
      </c>
      <c r="N4" s="7">
        <f t="shared" si="1"/>
        <v>27263332481.040001</v>
      </c>
      <c r="O4" s="7">
        <f t="shared" si="2"/>
        <v>27262534581</v>
      </c>
      <c r="P4" s="41">
        <v>26900000000</v>
      </c>
    </row>
    <row r="5" spans="1:16" ht="15.75" customHeight="1" x14ac:dyDescent="0.15">
      <c r="A5" s="7" t="s">
        <v>15</v>
      </c>
      <c r="B5" s="31">
        <f t="shared" si="0"/>
        <v>11227386066.423334</v>
      </c>
      <c r="C5" s="31">
        <f ca="1">IFERROR(__xludf.DUMMYFUNCTION("IFERROR(STDEV.S(FILTER(M5:O5, M5:O5&lt;&gt;"""")))"),24474727.509683)</f>
        <v>24474727.509683002</v>
      </c>
      <c r="D5" s="49">
        <v>2.1799132379999998E-3</v>
      </c>
      <c r="E5" s="7"/>
      <c r="F5" s="7">
        <v>251.27</v>
      </c>
      <c r="G5" s="7">
        <v>251</v>
      </c>
      <c r="H5" s="38">
        <v>287.60000000000002</v>
      </c>
      <c r="I5" s="40"/>
      <c r="K5" s="7">
        <v>39205030</v>
      </c>
      <c r="L5" s="7">
        <v>44761101</v>
      </c>
      <c r="N5" s="7">
        <f t="shared" si="1"/>
        <v>11247121848.27</v>
      </c>
      <c r="O5" s="7">
        <f t="shared" si="2"/>
        <v>11235036351</v>
      </c>
      <c r="P5" s="41">
        <v>11200000000</v>
      </c>
    </row>
    <row r="6" spans="1:16" ht="15.75" customHeight="1" x14ac:dyDescent="0.15">
      <c r="A6" s="7" t="s">
        <v>17</v>
      </c>
      <c r="B6" s="31">
        <f t="shared" si="0"/>
        <v>315620155</v>
      </c>
      <c r="C6" s="31">
        <f ca="1">IFERROR(__xludf.DUMMYFUNCTION("IFERROR(STDEV.S(FILTER(M6:O6, M6:O6&lt;&gt;"""")))"),22443.0295414857)</f>
        <v>22443.029541485699</v>
      </c>
      <c r="D6" s="49">
        <v>7.1107719790000005E-5</v>
      </c>
      <c r="E6" s="16"/>
      <c r="F6" s="16">
        <v>4027.36</v>
      </c>
      <c r="G6" s="16">
        <v>4027</v>
      </c>
      <c r="H6" s="39">
        <v>3983.7</v>
      </c>
      <c r="I6" s="40"/>
      <c r="K6" s="7">
        <v>73740</v>
      </c>
      <c r="L6" s="7">
        <v>78375</v>
      </c>
      <c r="N6" s="7">
        <f t="shared" si="1"/>
        <v>315644340</v>
      </c>
      <c r="O6" s="7">
        <f t="shared" si="2"/>
        <v>315616125</v>
      </c>
      <c r="P6" s="41">
        <v>315600000</v>
      </c>
    </row>
    <row r="7" spans="1:16" ht="15.75" customHeight="1" x14ac:dyDescent="0.15">
      <c r="A7" s="7" t="s">
        <v>18</v>
      </c>
      <c r="B7" s="31">
        <f t="shared" si="0"/>
        <v>148002031243.80334</v>
      </c>
      <c r="C7" s="31">
        <f ca="1">IFERROR(__xludf.DUMMYFUNCTION("IFERROR(STDEV.S(FILTER(M7:O7, M7:O7&lt;&gt;"""")))"),3422015.93490611)</f>
        <v>3422015.9349061102</v>
      </c>
      <c r="D7" s="49">
        <v>2.3121411959999999E-5</v>
      </c>
      <c r="E7" s="16"/>
      <c r="F7" s="16">
        <v>4285.83</v>
      </c>
      <c r="G7" s="16">
        <v>4286</v>
      </c>
      <c r="H7" s="39">
        <v>5497.7</v>
      </c>
      <c r="I7" s="40"/>
      <c r="K7" s="7">
        <v>27160770</v>
      </c>
      <c r="L7" s="7">
        <v>34532427</v>
      </c>
      <c r="N7" s="7">
        <f t="shared" si="1"/>
        <v>148000111609.41</v>
      </c>
      <c r="O7" s="7">
        <f t="shared" si="2"/>
        <v>148005982122</v>
      </c>
      <c r="P7" s="41">
        <v>148000000000</v>
      </c>
    </row>
    <row r="8" spans="1:16" ht="15.75" customHeight="1" x14ac:dyDescent="0.15">
      <c r="A8" s="7" t="s">
        <v>20</v>
      </c>
      <c r="B8" s="31">
        <f t="shared" si="0"/>
        <v>52000832.213333331</v>
      </c>
      <c r="C8" s="31">
        <f ca="1">IFERROR(__xludf.DUMMYFUNCTION("IFERROR(STDEV.S(FILTER(M8:O8, M8:O8&lt;&gt;"""")))"),3763.96526771093)</f>
        <v>3763.9652677109302</v>
      </c>
      <c r="D8" s="49">
        <v>7.238278903E-5</v>
      </c>
      <c r="E8" s="7"/>
      <c r="F8" s="7">
        <v>563.08000000000004</v>
      </c>
      <c r="G8" s="7">
        <v>563</v>
      </c>
      <c r="H8" s="38">
        <v>525.9</v>
      </c>
      <c r="I8" s="40"/>
      <c r="K8" s="7">
        <v>88770</v>
      </c>
      <c r="L8" s="7">
        <v>92358</v>
      </c>
      <c r="N8" s="7">
        <f t="shared" si="1"/>
        <v>52004942.640000001</v>
      </c>
      <c r="O8" s="7">
        <f t="shared" si="2"/>
        <v>51997554</v>
      </c>
      <c r="P8" s="41">
        <v>52000000</v>
      </c>
    </row>
    <row r="9" spans="1:16" ht="15.75" customHeight="1" x14ac:dyDescent="0.15">
      <c r="A9" s="7" t="s">
        <v>21</v>
      </c>
      <c r="B9" s="31">
        <f t="shared" si="0"/>
        <v>291997468797.37</v>
      </c>
      <c r="C9" s="31">
        <f ca="1">IFERROR(__xludf.DUMMYFUNCTION("IFERROR(STDEV.S(FILTER(M9:O9, M9:O9&lt;&gt;"""")))"),4431662.40514292)</f>
        <v>4431662.4051429201</v>
      </c>
      <c r="D9" s="49">
        <v>1.5177057609999999E-5</v>
      </c>
      <c r="E9" s="16"/>
      <c r="F9" s="16">
        <v>6444.17</v>
      </c>
      <c r="G9" s="16">
        <v>6444</v>
      </c>
      <c r="H9" s="39">
        <v>6793.6</v>
      </c>
      <c r="I9" s="40"/>
      <c r="K9" s="7">
        <v>43024070</v>
      </c>
      <c r="L9" s="7">
        <v>45312283</v>
      </c>
      <c r="N9" s="7">
        <f t="shared" si="1"/>
        <v>292000054740.10999</v>
      </c>
      <c r="O9" s="7">
        <f t="shared" si="2"/>
        <v>291992351652</v>
      </c>
      <c r="P9" s="41">
        <v>292000000000</v>
      </c>
    </row>
    <row r="10" spans="1:16" ht="15.75" customHeight="1" x14ac:dyDescent="0.15">
      <c r="A10" s="7" t="s">
        <v>22</v>
      </c>
      <c r="B10" s="31">
        <f t="shared" si="0"/>
        <v>6730301271.9233332</v>
      </c>
      <c r="C10" s="31">
        <f ca="1">IFERROR(__xludf.DUMMYFUNCTION("IFERROR(STDEV.S(FILTER(M10:O10, M10:O10&lt;&gt;"""")))"),146964705.197486)</f>
        <v>146964705.19748601</v>
      </c>
      <c r="D10" s="49">
        <v>2.1836274369999999E-2</v>
      </c>
      <c r="E10" s="16"/>
      <c r="F10" s="16">
        <v>2315.4299999999998</v>
      </c>
      <c r="G10" s="16">
        <v>2315</v>
      </c>
      <c r="H10" s="39">
        <v>2360.1</v>
      </c>
      <c r="I10" s="40"/>
      <c r="K10" s="7">
        <v>3013800</v>
      </c>
      <c r="L10" s="7">
        <v>2870339</v>
      </c>
      <c r="N10" s="7">
        <f t="shared" si="1"/>
        <v>6646069030.7699995</v>
      </c>
      <c r="O10" s="7">
        <f t="shared" si="2"/>
        <v>6644834785</v>
      </c>
      <c r="P10" s="41">
        <v>6900000000</v>
      </c>
    </row>
    <row r="11" spans="1:16" ht="15.75" customHeight="1" x14ac:dyDescent="0.15">
      <c r="A11" s="7" t="s">
        <v>24</v>
      </c>
      <c r="B11" s="31">
        <f t="shared" si="0"/>
        <v>495462047977.81329</v>
      </c>
      <c r="C11" s="31">
        <f ca="1">IFERROR(__xludf.DUMMYFUNCTION("IFERROR(STDEV.S(FILTER(M11:O11, M11:O11&lt;&gt;"""")))"),2998222216.9843)</f>
        <v>2998222216.9843001</v>
      </c>
      <c r="D11" s="49">
        <v>6.0513660519999997E-3</v>
      </c>
      <c r="E11" s="16"/>
      <c r="F11" s="16">
        <v>19154.84</v>
      </c>
      <c r="G11" s="16">
        <v>19155</v>
      </c>
      <c r="H11" s="39">
        <v>20932.5</v>
      </c>
      <c r="I11" s="40"/>
      <c r="K11" s="7">
        <v>23475690</v>
      </c>
      <c r="L11" s="7">
        <v>25956416</v>
      </c>
      <c r="N11" s="7">
        <f t="shared" si="1"/>
        <v>497190995453.44</v>
      </c>
      <c r="O11" s="7">
        <f t="shared" si="2"/>
        <v>497195148480</v>
      </c>
      <c r="P11" s="41">
        <v>492000000000</v>
      </c>
    </row>
    <row r="12" spans="1:16" ht="15.75" customHeight="1" x14ac:dyDescent="0.15">
      <c r="A12" s="7" t="s">
        <v>25</v>
      </c>
      <c r="B12" s="31">
        <f t="shared" si="0"/>
        <v>55045255350.103333</v>
      </c>
      <c r="C12" s="31">
        <f ca="1">IFERROR(__xludf.DUMMYFUNCTION("IFERROR(STDEV.S(FILTER(M12:O12, M12:O12&lt;&gt;"""")))"),39210973.8625729)</f>
        <v>39210973.862572901</v>
      </c>
      <c r="D12" s="49">
        <v>7.1234066610000003E-4</v>
      </c>
      <c r="E12" s="16"/>
      <c r="F12" s="16">
        <v>6141.27</v>
      </c>
      <c r="G12" s="16">
        <v>6141</v>
      </c>
      <c r="H12" s="39">
        <v>6435.5</v>
      </c>
      <c r="I12" s="40"/>
      <c r="K12" s="7">
        <v>8546360</v>
      </c>
      <c r="L12" s="7">
        <v>8967053</v>
      </c>
      <c r="N12" s="7">
        <f t="shared" si="1"/>
        <v>55069093577.310005</v>
      </c>
      <c r="O12" s="7">
        <f t="shared" si="2"/>
        <v>55066672473</v>
      </c>
      <c r="P12" s="41">
        <v>55000000000</v>
      </c>
    </row>
    <row r="13" spans="1:16" ht="15.75" customHeight="1" x14ac:dyDescent="0.15">
      <c r="A13" s="7" t="s">
        <v>26</v>
      </c>
      <c r="B13" s="31">
        <f t="shared" si="0"/>
        <v>8159935651.7700005</v>
      </c>
      <c r="C13" s="31">
        <f ca="1">IFERROR(__xludf.DUMMYFUNCTION("IFERROR(STDEV.S(FILTER(M13:O13, M13:O13&lt;&gt;"""")))"),51961487.3088487)</f>
        <v>51961487.308848701</v>
      </c>
      <c r="D13" s="49">
        <v>6.3678795429999999E-3</v>
      </c>
      <c r="E13" s="7"/>
      <c r="F13" s="7">
        <v>800.47</v>
      </c>
      <c r="G13" s="7">
        <v>800</v>
      </c>
      <c r="H13" s="38">
        <v>851.1</v>
      </c>
      <c r="I13" s="40"/>
      <c r="K13" s="7">
        <v>9535080</v>
      </c>
      <c r="L13" s="7">
        <v>10234373</v>
      </c>
      <c r="N13" s="7">
        <f t="shared" si="1"/>
        <v>8192308555.3100004</v>
      </c>
      <c r="O13" s="7">
        <f t="shared" si="2"/>
        <v>8187498400</v>
      </c>
      <c r="P13" s="41">
        <v>8100000000</v>
      </c>
    </row>
    <row r="14" spans="1:16" ht="15.75" customHeight="1" x14ac:dyDescent="0.15">
      <c r="A14" s="7" t="s">
        <v>27</v>
      </c>
      <c r="B14" s="31">
        <f t="shared" si="0"/>
        <v>700007218.60333335</v>
      </c>
      <c r="C14" s="31">
        <f ca="1">IFERROR(__xludf.DUMMYFUNCTION("IFERROR(STDEV.S(FILTER(M14:O14, M14:O14&lt;&gt;"""")))"),6558.13410902282)</f>
        <v>6558.1341090228198</v>
      </c>
      <c r="D14" s="49">
        <v>9.3686664000000007E-6</v>
      </c>
      <c r="E14" s="16"/>
      <c r="F14" s="16">
        <v>1766.01</v>
      </c>
      <c r="G14" s="16">
        <v>1766</v>
      </c>
      <c r="H14" s="39">
        <v>1831.7</v>
      </c>
      <c r="I14" s="40"/>
      <c r="K14" s="7">
        <v>382300</v>
      </c>
      <c r="L14" s="7">
        <v>396381</v>
      </c>
      <c r="N14" s="7">
        <f t="shared" si="1"/>
        <v>700012809.80999994</v>
      </c>
      <c r="O14" s="7">
        <f t="shared" si="2"/>
        <v>700008846</v>
      </c>
      <c r="P14" s="41">
        <v>700000000</v>
      </c>
    </row>
    <row r="15" spans="1:16" ht="15.75" customHeight="1" x14ac:dyDescent="0.15">
      <c r="A15" s="7" t="s">
        <v>28</v>
      </c>
      <c r="B15" s="31">
        <f t="shared" si="0"/>
        <v>4166657.64</v>
      </c>
      <c r="C15" s="31">
        <f ca="1">IFERROR(__xludf.DUMMYFUNCTION("IFERROR(STDEV.S(FILTER(M15:O15, M15:O15&lt;&gt;"""")))"),293272.794258159)</f>
        <v>293272.794258159</v>
      </c>
      <c r="D15" s="49">
        <v>7.0385623110000003E-2</v>
      </c>
      <c r="E15" s="7"/>
      <c r="F15" s="7">
        <v>2.66</v>
      </c>
      <c r="G15" s="7">
        <v>3</v>
      </c>
      <c r="H15" s="38">
        <v>3</v>
      </c>
      <c r="I15" s="40"/>
      <c r="K15" s="7">
        <v>1314560</v>
      </c>
      <c r="L15" s="7">
        <v>1501762</v>
      </c>
      <c r="N15" s="7">
        <f t="shared" si="1"/>
        <v>3994686.9200000004</v>
      </c>
      <c r="O15" s="7">
        <f t="shared" si="2"/>
        <v>4505286</v>
      </c>
      <c r="P15" s="41">
        <v>4000000</v>
      </c>
    </row>
    <row r="16" spans="1:16" ht="15.75" customHeight="1" x14ac:dyDescent="0.15">
      <c r="A16" s="7" t="s">
        <v>29</v>
      </c>
      <c r="B16" s="31">
        <f t="shared" si="0"/>
        <v>104984718116.95</v>
      </c>
      <c r="C16" s="31">
        <f ca="1">IFERROR(__xludf.DUMMYFUNCTION("IFERROR(STDEV.S(FILTER(M16:O16, M16:O16&lt;&gt;"""")))"),26219219.0514331)</f>
        <v>26219219.051433101</v>
      </c>
      <c r="D16" s="49">
        <v>2.4974319620000001E-4</v>
      </c>
      <c r="E16" s="7"/>
      <c r="F16" s="7">
        <v>626.27</v>
      </c>
      <c r="G16" s="7">
        <v>626</v>
      </c>
      <c r="H16" s="38">
        <v>658.7</v>
      </c>
      <c r="I16" s="40"/>
      <c r="K16" s="7">
        <v>157964930</v>
      </c>
      <c r="L16" s="7">
        <v>167658855</v>
      </c>
      <c r="N16" s="7">
        <f t="shared" si="1"/>
        <v>104999711120.84999</v>
      </c>
      <c r="O16" s="7">
        <f t="shared" si="2"/>
        <v>104954443230</v>
      </c>
      <c r="P16" s="41">
        <v>105000000000</v>
      </c>
    </row>
    <row r="17" spans="1:16" ht="15.75" customHeight="1" x14ac:dyDescent="0.15">
      <c r="A17" s="7" t="s">
        <v>30</v>
      </c>
      <c r="B17" s="31">
        <f t="shared" si="0"/>
        <v>80044938.74666667</v>
      </c>
      <c r="C17" s="31">
        <f ca="1">IFERROR(__xludf.DUMMYFUNCTION("IFERROR(STDEV.S(FILTER(M17:O17, M17:O17&lt;&gt;"""")))"),75670.9551608285)</f>
        <v>75670.955160828496</v>
      </c>
      <c r="D17" s="49">
        <v>9.453559006E-4</v>
      </c>
      <c r="E17" s="7"/>
      <c r="F17" s="7">
        <v>283.54000000000002</v>
      </c>
      <c r="G17" s="7">
        <v>284</v>
      </c>
      <c r="H17" s="38">
        <v>282.3</v>
      </c>
      <c r="I17" s="40"/>
      <c r="K17" s="7">
        <v>278350</v>
      </c>
      <c r="L17" s="7">
        <v>282156</v>
      </c>
      <c r="N17" s="7">
        <f t="shared" si="1"/>
        <v>80002512.24000001</v>
      </c>
      <c r="O17" s="7">
        <f t="shared" si="2"/>
        <v>80132304</v>
      </c>
      <c r="P17" s="41">
        <v>80000000</v>
      </c>
    </row>
    <row r="18" spans="1:16" ht="15.75" customHeight="1" x14ac:dyDescent="0.15">
      <c r="A18" s="7" t="s">
        <v>31</v>
      </c>
      <c r="B18" s="31">
        <f t="shared" si="0"/>
        <v>33875522544.433334</v>
      </c>
      <c r="C18" s="31">
        <f ca="1">IFERROR(__xludf.DUMMYFUNCTION("IFERROR(STDEV.S(FILTER(M18:O18, M18:O18&lt;&gt;"""")))"),107801631.146016)</f>
        <v>107801631.146016</v>
      </c>
      <c r="D18" s="49">
        <v>3.1822868859999998E-3</v>
      </c>
      <c r="E18" s="35"/>
      <c r="F18" s="35">
        <v>3654.9</v>
      </c>
      <c r="G18" s="35">
        <v>3655</v>
      </c>
      <c r="H18" s="39">
        <v>3588.6</v>
      </c>
      <c r="I18" s="40"/>
      <c r="K18" s="7">
        <v>9448510</v>
      </c>
      <c r="L18" s="7">
        <v>9251367</v>
      </c>
      <c r="N18" s="7">
        <f t="shared" si="1"/>
        <v>33812821248.299999</v>
      </c>
      <c r="O18" s="7">
        <f t="shared" si="2"/>
        <v>33813746385</v>
      </c>
      <c r="P18" s="41">
        <v>34000000000</v>
      </c>
    </row>
    <row r="19" spans="1:16" ht="15.75" customHeight="1" x14ac:dyDescent="0.15">
      <c r="A19" s="7" t="s">
        <v>32</v>
      </c>
      <c r="B19" s="31">
        <f t="shared" si="0"/>
        <v>11989164997.846666</v>
      </c>
      <c r="C19" s="31">
        <f ca="1">IFERROR(__xludf.DUMMYFUNCTION("IFERROR(STDEV.S(FILTER(M19:O19, M19:O19&lt;&gt;"""")))"),10066411.0688911)</f>
        <v>10066411.068891101</v>
      </c>
      <c r="D19" s="49">
        <v>8.3962570130000005E-4</v>
      </c>
      <c r="E19" s="35"/>
      <c r="F19" s="35">
        <v>1035.3699999999999</v>
      </c>
      <c r="G19" s="35">
        <v>1036</v>
      </c>
      <c r="H19" s="39">
        <v>1070.5999999999999</v>
      </c>
      <c r="I19" s="42">
        <v>25011</v>
      </c>
      <c r="K19" s="7">
        <v>11209060</v>
      </c>
      <c r="L19" s="7">
        <v>11570842</v>
      </c>
      <c r="N19" s="7">
        <f t="shared" si="1"/>
        <v>11980102681.539999</v>
      </c>
      <c r="O19" s="7">
        <f t="shared" si="2"/>
        <v>11987392312</v>
      </c>
      <c r="P19" s="41">
        <v>12000000000</v>
      </c>
    </row>
    <row r="20" spans="1:16" ht="15.75" customHeight="1" x14ac:dyDescent="0.15">
      <c r="A20" s="7" t="s">
        <v>33</v>
      </c>
      <c r="B20" s="31">
        <f t="shared" si="0"/>
        <v>15273577341.199999</v>
      </c>
      <c r="C20" s="31">
        <f ca="1">IFERROR(__xludf.DUMMYFUNCTION("IFERROR(STDEV.S(FILTER(M20:O20, M20:O20&lt;&gt;"""")))"),22882702.2947872)</f>
        <v>22882702.294787198</v>
      </c>
      <c r="D20" s="49">
        <v>1.498188786E-3</v>
      </c>
      <c r="E20" s="16"/>
      <c r="F20" s="16">
        <v>38599.1</v>
      </c>
      <c r="G20" s="16">
        <v>38599</v>
      </c>
      <c r="H20" s="39">
        <v>43390</v>
      </c>
      <c r="I20" s="40"/>
      <c r="K20" s="7">
        <v>348920</v>
      </c>
      <c r="L20" s="7">
        <v>395356</v>
      </c>
      <c r="N20" s="7">
        <f t="shared" si="1"/>
        <v>15260385779.599998</v>
      </c>
      <c r="O20" s="7">
        <f t="shared" si="2"/>
        <v>15260346244</v>
      </c>
      <c r="P20" s="41">
        <v>15300000000</v>
      </c>
    </row>
    <row r="21" spans="1:16" ht="15.75" customHeight="1" x14ac:dyDescent="0.15">
      <c r="A21" s="7" t="s">
        <v>35</v>
      </c>
      <c r="B21" s="31">
        <f t="shared" si="0"/>
        <v>10300514083.823334</v>
      </c>
      <c r="C21" s="31">
        <f ca="1">IFERROR(__xludf.DUMMYFUNCTION("IFERROR(STDEV.S(FILTER(M21:O21, M21:O21&lt;&gt;"""")))"),861666.62968058)</f>
        <v>861666.62968057999</v>
      </c>
      <c r="D21" s="49">
        <v>8.365277914E-5</v>
      </c>
      <c r="E21" s="7"/>
      <c r="F21" s="7">
        <v>767.89</v>
      </c>
      <c r="G21" s="7">
        <v>768</v>
      </c>
      <c r="H21" s="39">
        <v>1001.3</v>
      </c>
      <c r="I21" s="40"/>
      <c r="K21" s="7">
        <v>11030000</v>
      </c>
      <c r="L21" s="7">
        <v>13413423</v>
      </c>
      <c r="N21" s="7">
        <f t="shared" si="1"/>
        <v>10300033387.469999</v>
      </c>
      <c r="O21" s="7">
        <f t="shared" si="2"/>
        <v>10301508864</v>
      </c>
      <c r="P21" s="41">
        <v>10300000000</v>
      </c>
    </row>
    <row r="22" spans="1:16" ht="15.75" customHeight="1" x14ac:dyDescent="0.15">
      <c r="A22" s="7" t="s">
        <v>36</v>
      </c>
      <c r="B22" s="31">
        <f t="shared" si="0"/>
        <v>78000658428.599991</v>
      </c>
      <c r="C22" s="31">
        <f ca="1">IFERROR(__xludf.DUMMYFUNCTION("IFERROR(STDEV.S(FILTER(M22:O22, M22:O22&lt;&gt;"""")))"),575464.515414551)</f>
        <v>575464.51541455102</v>
      </c>
      <c r="D22" s="49">
        <v>7.3776879199999999E-6</v>
      </c>
      <c r="E22" s="16"/>
      <c r="F22" s="16">
        <v>100587.8</v>
      </c>
      <c r="G22" s="16">
        <v>100588</v>
      </c>
      <c r="H22" s="39">
        <v>100457.5</v>
      </c>
      <c r="I22" s="40"/>
      <c r="K22" s="7">
        <v>733140</v>
      </c>
      <c r="L22" s="7">
        <v>775451</v>
      </c>
      <c r="N22" s="7">
        <f t="shared" si="1"/>
        <v>78000910097.800003</v>
      </c>
      <c r="O22" s="7">
        <f t="shared" si="2"/>
        <v>78001065188</v>
      </c>
      <c r="P22" s="41">
        <v>78000000000</v>
      </c>
    </row>
    <row r="23" spans="1:16" ht="15.75" customHeight="1" x14ac:dyDescent="0.15">
      <c r="A23" s="7" t="s">
        <v>37</v>
      </c>
      <c r="B23" s="31">
        <f t="shared" si="0"/>
        <v>303499082672.82666</v>
      </c>
      <c r="C23" s="31">
        <f ca="1">IFERROR(__xludf.DUMMYFUNCTION("IFERROR(STDEV.S(FILTER(M23:O23, M23:O23&lt;&gt;"""")))"),2403209.98602933)</f>
        <v>2403209.9860293302</v>
      </c>
      <c r="D23" s="49">
        <v>7.9183434919999999E-6</v>
      </c>
      <c r="E23" s="16"/>
      <c r="F23" s="16">
        <v>25424.38</v>
      </c>
      <c r="G23" s="16">
        <v>25424</v>
      </c>
      <c r="H23" s="39">
        <v>28734.7</v>
      </c>
      <c r="I23" s="40"/>
      <c r="K23" s="7">
        <v>10848890</v>
      </c>
      <c r="L23" s="7">
        <v>11937396</v>
      </c>
      <c r="N23" s="7">
        <f t="shared" si="1"/>
        <v>303500892114.48004</v>
      </c>
      <c r="O23" s="7">
        <f t="shared" si="2"/>
        <v>303496355904</v>
      </c>
      <c r="P23" s="41">
        <v>303500000000</v>
      </c>
    </row>
    <row r="24" spans="1:16" ht="15.75" customHeight="1" x14ac:dyDescent="0.15">
      <c r="A24" s="7" t="s">
        <v>285</v>
      </c>
      <c r="B24" s="31">
        <f t="shared" si="0"/>
        <v>35499774266.659996</v>
      </c>
      <c r="C24" s="31">
        <f ca="1">IFERROR(__xludf.DUMMYFUNCTION("IFERROR(STDEV.S(FILTER(M24:O24, M24:O24&lt;&gt;"""")))"),406967.826801154)</f>
        <v>406967.82680115401</v>
      </c>
      <c r="D24" s="49">
        <v>1.146395534E-5</v>
      </c>
      <c r="E24" s="16"/>
      <c r="F24" s="16">
        <v>10940.22</v>
      </c>
      <c r="G24" s="16">
        <v>10940</v>
      </c>
      <c r="H24" s="39">
        <v>9955.1</v>
      </c>
      <c r="I24" s="42">
        <v>31922</v>
      </c>
      <c r="K24" s="7">
        <v>3564830</v>
      </c>
      <c r="L24" s="7">
        <v>3244909</v>
      </c>
      <c r="N24" s="7">
        <f t="shared" si="1"/>
        <v>35500018339.979996</v>
      </c>
      <c r="O24" s="7">
        <f t="shared" si="2"/>
        <v>35499304460</v>
      </c>
      <c r="P24" s="41">
        <v>35500000000</v>
      </c>
    </row>
    <row r="25" spans="1:16" ht="15.75" customHeight="1" x14ac:dyDescent="0.15">
      <c r="A25" s="7" t="s">
        <v>39</v>
      </c>
      <c r="B25" s="31">
        <f t="shared" si="0"/>
        <v>2399685227.2000003</v>
      </c>
      <c r="C25" s="31">
        <f ca="1">IFERROR(__xludf.DUMMYFUNCTION("IFERROR(STDEV.S(FILTER(M25:O25, M25:O25&lt;&gt;"""")))"),552258.751581983)</f>
        <v>552258.75158198294</v>
      </c>
      <c r="D25" s="49">
        <v>2.30137997E-4</v>
      </c>
      <c r="E25" s="7"/>
      <c r="F25" s="7">
        <v>999.4</v>
      </c>
      <c r="G25" s="7">
        <v>999</v>
      </c>
      <c r="H25" s="39">
        <v>1106.7</v>
      </c>
      <c r="I25" s="40"/>
      <c r="K25" s="7">
        <v>2172040</v>
      </c>
      <c r="L25" s="7">
        <v>2401449</v>
      </c>
      <c r="N25" s="7">
        <f t="shared" si="1"/>
        <v>2400008130.5999999</v>
      </c>
      <c r="O25" s="7">
        <f t="shared" si="2"/>
        <v>2399047551</v>
      </c>
      <c r="P25" s="41">
        <v>2400000000</v>
      </c>
    </row>
    <row r="26" spans="1:16" ht="15.75" customHeight="1" x14ac:dyDescent="0.15">
      <c r="A26" s="7" t="s">
        <v>40</v>
      </c>
      <c r="B26" s="31">
        <f t="shared" si="0"/>
        <v>5674000042409.0303</v>
      </c>
      <c r="C26" s="31">
        <f ca="1">IFERROR(__xludf.DUMMYFUNCTION("IFERROR(STDEV.S(FILTER(M26:O26, M26:O26&lt;&gt;"""")))"),22516623795.4751)</f>
        <v>22516623795.475101</v>
      </c>
      <c r="D26" s="49">
        <v>3.9683862579999998E-3</v>
      </c>
      <c r="E26" s="16"/>
      <c r="F26" s="16">
        <v>27014.99</v>
      </c>
      <c r="G26" s="16">
        <v>27015</v>
      </c>
      <c r="H26" s="39">
        <v>27721</v>
      </c>
      <c r="I26" s="40"/>
      <c r="K26" s="7">
        <v>200085130</v>
      </c>
      <c r="L26" s="7">
        <v>209550291</v>
      </c>
      <c r="N26" s="7">
        <f t="shared" si="1"/>
        <v>5660999015862.0908</v>
      </c>
      <c r="O26" s="7">
        <f t="shared" si="2"/>
        <v>5661001111365</v>
      </c>
      <c r="P26" s="41">
        <v>5700000000000</v>
      </c>
    </row>
    <row r="27" spans="1:16" ht="15.75" customHeight="1" x14ac:dyDescent="0.15">
      <c r="A27" s="7" t="s">
        <v>225</v>
      </c>
      <c r="B27" s="31">
        <f t="shared" si="0"/>
        <v>8500035748.0533333</v>
      </c>
      <c r="C27" s="31">
        <f ca="1">IFERROR(__xludf.DUMMYFUNCTION("IFERROR(STDEV.S(FILTER(M27:O27, M27:O27&lt;&gt;"""")))"),35845.8973638152)</f>
        <v>35845.897363815202</v>
      </c>
      <c r="D27" s="49">
        <v>4.2171466600000001E-6</v>
      </c>
      <c r="E27" s="16"/>
      <c r="F27" s="16">
        <v>18816.919999999998</v>
      </c>
      <c r="G27" s="16">
        <v>18817</v>
      </c>
      <c r="H27" s="39">
        <v>20645.900000000001</v>
      </c>
      <c r="I27" s="40"/>
      <c r="K27" s="7">
        <v>416750</v>
      </c>
      <c r="L27" s="7">
        <v>451723</v>
      </c>
      <c r="N27" s="7">
        <f t="shared" si="1"/>
        <v>8500035553.1599989</v>
      </c>
      <c r="O27" s="7">
        <f t="shared" si="2"/>
        <v>8500071691</v>
      </c>
      <c r="P27" s="41">
        <v>8500000000</v>
      </c>
    </row>
    <row r="28" spans="1:16" ht="15.75" customHeight="1" x14ac:dyDescent="0.15">
      <c r="A28" s="7" t="s">
        <v>43</v>
      </c>
      <c r="B28" s="31">
        <f t="shared" si="0"/>
        <v>20998195671.75333</v>
      </c>
      <c r="C28" s="31">
        <f ca="1">IFERROR(__xludf.DUMMYFUNCTION("IFERROR(STDEV.S(FILTER(M28:O28, M28:O28&lt;&gt;"""")))"),1931149.62733265)</f>
        <v>1931149.6273326499</v>
      </c>
      <c r="D28" s="49">
        <v>9.1967407939999999E-5</v>
      </c>
      <c r="E28" s="16"/>
      <c r="F28" s="16">
        <v>3053.33</v>
      </c>
      <c r="G28" s="16">
        <v>3053</v>
      </c>
      <c r="H28" s="39">
        <v>2907</v>
      </c>
      <c r="I28" s="42">
        <v>99841</v>
      </c>
      <c r="K28" s="7">
        <v>7223940</v>
      </c>
      <c r="L28" s="7">
        <v>6877222</v>
      </c>
      <c r="N28" s="7">
        <f t="shared" si="1"/>
        <v>20998428249.259998</v>
      </c>
      <c r="O28" s="7">
        <f t="shared" si="2"/>
        <v>20996158766</v>
      </c>
      <c r="P28" s="41">
        <v>21000000000</v>
      </c>
    </row>
    <row r="29" spans="1:16" ht="15.75" customHeight="1" x14ac:dyDescent="0.15">
      <c r="A29" s="7" t="s">
        <v>44</v>
      </c>
      <c r="B29" s="31">
        <f t="shared" si="0"/>
        <v>12497733812.9</v>
      </c>
      <c r="C29" s="31">
        <f ca="1">IFERROR(__xludf.DUMMYFUNCTION("IFERROR(STDEV.S(FILTER(M29:O29, M29:O29&lt;&gt;"""")))"),3838880.04462503)</f>
        <v>3838880.0446250299</v>
      </c>
      <c r="D29" s="49">
        <v>3.0716609120000002E-4</v>
      </c>
      <c r="E29" s="7"/>
      <c r="F29" s="7">
        <v>568.29999999999995</v>
      </c>
      <c r="G29" s="7">
        <v>568</v>
      </c>
      <c r="H29" s="38">
        <v>710.8</v>
      </c>
      <c r="I29" s="40"/>
      <c r="K29" s="7">
        <v>18229460</v>
      </c>
      <c r="L29" s="7">
        <v>21995249</v>
      </c>
      <c r="N29" s="7">
        <f t="shared" si="1"/>
        <v>12499900006.699999</v>
      </c>
      <c r="O29" s="7">
        <f t="shared" si="2"/>
        <v>12493301432</v>
      </c>
      <c r="P29" s="41">
        <v>12500000000</v>
      </c>
    </row>
    <row r="30" spans="1:16" ht="15.75" customHeight="1" x14ac:dyDescent="0.15">
      <c r="A30" s="7" t="s">
        <v>227</v>
      </c>
      <c r="B30" s="31">
        <f t="shared" si="0"/>
        <v>10073756310.056665</v>
      </c>
      <c r="C30" s="31">
        <f ca="1">IFERROR(__xludf.DUMMYFUNCTION("IFERROR(STDEV.S(FILTER(M30:O30, M30:O30&lt;&gt;"""")))"),22735189.8317128)</f>
        <v>22735189.831712801</v>
      </c>
      <c r="D30" s="49">
        <v>2.2568731199999999E-3</v>
      </c>
      <c r="E30" s="7"/>
      <c r="F30" s="7">
        <v>775.91</v>
      </c>
      <c r="G30" s="7">
        <v>776</v>
      </c>
      <c r="H30" s="39">
        <v>1017</v>
      </c>
      <c r="I30" s="40"/>
      <c r="K30" s="7">
        <v>10799780</v>
      </c>
      <c r="L30" s="7">
        <v>12965487</v>
      </c>
      <c r="N30" s="7">
        <f t="shared" si="1"/>
        <v>10060051018.17</v>
      </c>
      <c r="O30" s="7">
        <f t="shared" si="2"/>
        <v>10061217912</v>
      </c>
      <c r="P30" s="41">
        <v>10100000000</v>
      </c>
    </row>
    <row r="31" spans="1:16" ht="15.75" customHeight="1" x14ac:dyDescent="0.15">
      <c r="A31" s="7" t="s">
        <v>45</v>
      </c>
      <c r="B31" s="31">
        <f t="shared" si="0"/>
        <v>120600846758.96001</v>
      </c>
      <c r="C31" s="31">
        <f ca="1">IFERROR(__xludf.DUMMYFUNCTION("IFERROR(STDEV.S(FILTER(M31:O31, M31:O31&lt;&gt;"""")))"),1396271.28433202)</f>
        <v>1396271.28433202</v>
      </c>
      <c r="D31" s="49">
        <v>1.1577624219999999E-5</v>
      </c>
      <c r="E31" s="16"/>
      <c r="F31" s="16">
        <v>7104.86</v>
      </c>
      <c r="G31" s="16">
        <v>7105</v>
      </c>
      <c r="H31" s="39">
        <v>7897.4</v>
      </c>
      <c r="I31" s="40"/>
      <c r="K31" s="7">
        <v>15396770</v>
      </c>
      <c r="L31" s="7">
        <v>16974308</v>
      </c>
      <c r="N31" s="7">
        <f t="shared" si="1"/>
        <v>120600081936.87999</v>
      </c>
      <c r="O31" s="7">
        <f t="shared" si="2"/>
        <v>120602458340</v>
      </c>
      <c r="P31" s="41">
        <v>120600000000</v>
      </c>
    </row>
    <row r="32" spans="1:16" ht="15.75" customHeight="1" x14ac:dyDescent="0.15">
      <c r="A32" s="7" t="s">
        <v>46</v>
      </c>
      <c r="B32" s="31">
        <f t="shared" si="0"/>
        <v>273002242906.88</v>
      </c>
      <c r="C32" s="31">
        <f ca="1">IFERROR(__xludf.DUMMYFUNCTION("IFERROR(STDEV.S(FILTER(M32:O32, M32:O32&lt;&gt;"""")))"),3768975.15496797)</f>
        <v>3768975.1549679702</v>
      </c>
      <c r="D32" s="49">
        <v>1.3805656370000001E-5</v>
      </c>
      <c r="E32" s="16"/>
      <c r="F32" s="16">
        <v>10142.76</v>
      </c>
      <c r="G32" s="16">
        <v>10143</v>
      </c>
      <c r="H32" s="39">
        <v>12275.2</v>
      </c>
      <c r="I32" s="40"/>
      <c r="K32" s="7">
        <v>22059890</v>
      </c>
      <c r="L32" s="7">
        <v>26915764</v>
      </c>
      <c r="N32" s="7">
        <f t="shared" si="1"/>
        <v>273000134468.64001</v>
      </c>
      <c r="O32" s="7">
        <f t="shared" si="2"/>
        <v>273006594252</v>
      </c>
      <c r="P32" s="41">
        <v>273000000000</v>
      </c>
    </row>
    <row r="33" spans="1:16" ht="15.75" customHeight="1" x14ac:dyDescent="0.15">
      <c r="A33" s="7" t="s">
        <v>47</v>
      </c>
      <c r="B33" s="31">
        <f t="shared" si="0"/>
        <v>2877314860384.6333</v>
      </c>
      <c r="C33" s="31">
        <f ca="1">IFERROR(__xludf.DUMMYFUNCTION("IFERROR(STDEV.S(FILTER(M33:O33, M33:O33&lt;&gt;"""")))"),19645909100.5336)</f>
        <v>19645909100.5336</v>
      </c>
      <c r="D33" s="49">
        <v>6.8278621049999997E-3</v>
      </c>
      <c r="E33" s="16"/>
      <c r="F33" s="16">
        <v>74529.55</v>
      </c>
      <c r="G33" s="16">
        <v>74530</v>
      </c>
      <c r="H33" s="39">
        <v>80201.8</v>
      </c>
      <c r="I33" s="40"/>
      <c r="K33" s="7">
        <v>35434070</v>
      </c>
      <c r="L33" s="7">
        <v>38454058</v>
      </c>
      <c r="N33" s="7">
        <f t="shared" si="1"/>
        <v>2865963638413.8999</v>
      </c>
      <c r="O33" s="7">
        <f t="shared" si="2"/>
        <v>2865980942740</v>
      </c>
      <c r="P33" s="41">
        <v>2900000000000</v>
      </c>
    </row>
    <row r="34" spans="1:16" ht="15.75" customHeight="1" x14ac:dyDescent="0.15">
      <c r="A34" s="7" t="s">
        <v>48</v>
      </c>
      <c r="B34" s="31">
        <f t="shared" si="0"/>
        <v>300060871.2833333</v>
      </c>
      <c r="C34" s="31">
        <f ca="1">IFERROR(__xludf.DUMMYFUNCTION("IFERROR(STDEV.S(FILTER(M34:O34, M34:O34&lt;&gt;"""")))"),100230.829300138)</f>
        <v>100230.82930013799</v>
      </c>
      <c r="D34" s="49">
        <v>3.340349872E-4</v>
      </c>
      <c r="E34" s="7"/>
      <c r="F34" s="7">
        <v>580.66999999999996</v>
      </c>
      <c r="G34" s="7">
        <v>581</v>
      </c>
      <c r="H34" s="38">
        <v>569.9</v>
      </c>
      <c r="I34" s="40"/>
      <c r="K34" s="7">
        <v>512330</v>
      </c>
      <c r="L34" s="7">
        <v>516655</v>
      </c>
      <c r="N34" s="7">
        <f t="shared" si="1"/>
        <v>300006058.84999996</v>
      </c>
      <c r="O34" s="7">
        <f t="shared" si="2"/>
        <v>300176555</v>
      </c>
      <c r="P34" s="41">
        <v>300000000</v>
      </c>
    </row>
    <row r="35" spans="1:16" ht="15.75" customHeight="1" x14ac:dyDescent="0.15">
      <c r="A35" s="7" t="s">
        <v>281</v>
      </c>
      <c r="B35" s="31">
        <f t="shared" ref="B35:B66" si="3">IF(COUNTA(N35:P35) = 0, "", IFERROR(AVERAGEIF(N35:P35, "&lt;&gt;"), ""))</f>
        <v>141000684043.07999</v>
      </c>
      <c r="C35" s="31">
        <f ca="1">IFERROR(__xludf.DUMMYFUNCTION("IFERROR(STDEV.S(FILTER(M35:O35, M35:O35&lt;&gt;"""")))"),1137698.85605164)</f>
        <v>1137698.8560516399</v>
      </c>
      <c r="D35" s="49">
        <v>8.0687470689999999E-6</v>
      </c>
      <c r="E35" s="16"/>
      <c r="F35" s="16">
        <v>27581.62</v>
      </c>
      <c r="G35" s="16">
        <v>27582</v>
      </c>
      <c r="H35" s="39">
        <v>31226.5</v>
      </c>
      <c r="I35" s="40"/>
      <c r="K35" s="7">
        <v>4623180</v>
      </c>
      <c r="L35" s="7">
        <v>5112102</v>
      </c>
      <c r="N35" s="7">
        <f t="shared" ref="N35:N66" si="4">IF(OR(ISBLANK(F35), ISBLANK(L35)), "", F35 * L35)</f>
        <v>141000054765.23999</v>
      </c>
      <c r="O35" s="7">
        <f t="shared" ref="O35:O66" si="5">IF(OR(ISBLANK(G35), ISBLANK(L35)), "", G35 * L35)</f>
        <v>141001997364</v>
      </c>
      <c r="P35" s="41">
        <v>141000000000</v>
      </c>
    </row>
    <row r="36" spans="1:16" ht="15.75" customHeight="1" x14ac:dyDescent="0.15">
      <c r="A36" s="7" t="s">
        <v>50</v>
      </c>
      <c r="B36" s="31">
        <f t="shared" si="3"/>
        <v>14997858348.879999</v>
      </c>
      <c r="C36" s="31">
        <f ca="1">IFERROR(__xludf.DUMMYFUNCTION("IFERROR(STDEV.S(FILTER(M36:O36, M36:O36&lt;&gt;"""")))"),3706515.39907575)</f>
        <v>3706515.3990757498</v>
      </c>
      <c r="D36" s="49">
        <v>2.4713631189999998E-4</v>
      </c>
      <c r="E36" s="7"/>
      <c r="F36" s="7">
        <v>841.36</v>
      </c>
      <c r="G36" s="7">
        <v>841</v>
      </c>
      <c r="H36" s="43">
        <v>1105</v>
      </c>
      <c r="I36" s="40"/>
      <c r="K36" s="7">
        <v>14188680</v>
      </c>
      <c r="L36" s="7">
        <v>17828274</v>
      </c>
      <c r="N36" s="7">
        <f t="shared" si="4"/>
        <v>14999996612.639999</v>
      </c>
      <c r="O36" s="7">
        <f t="shared" si="5"/>
        <v>14993578434</v>
      </c>
      <c r="P36" s="41">
        <v>15000000000</v>
      </c>
    </row>
    <row r="37" spans="1:16" ht="15.75" customHeight="1" x14ac:dyDescent="0.15">
      <c r="A37" s="7" t="s">
        <v>51</v>
      </c>
      <c r="B37" s="31">
        <f t="shared" si="3"/>
        <v>884996586809.27002</v>
      </c>
      <c r="C37" s="31">
        <f ca="1">IFERROR(__xludf.DUMMYFUNCTION("IFERROR(STDEV.S(FILTER(M37:O37, M37:O37&lt;&gt;"""")))"),5444515.07396733)</f>
        <v>5444515.0739673302</v>
      </c>
      <c r="D37" s="49">
        <v>6.1520181600000004E-6</v>
      </c>
      <c r="E37" s="16"/>
      <c r="F37" s="16">
        <v>45486.47</v>
      </c>
      <c r="G37" s="16">
        <v>45486</v>
      </c>
      <c r="H37" s="39">
        <v>50244.7</v>
      </c>
      <c r="I37" s="40"/>
      <c r="K37" s="7">
        <v>17864190</v>
      </c>
      <c r="L37" s="7">
        <v>19456323</v>
      </c>
      <c r="N37" s="7">
        <f t="shared" si="4"/>
        <v>884999452449.81006</v>
      </c>
      <c r="O37" s="7">
        <f t="shared" si="5"/>
        <v>884990307978</v>
      </c>
      <c r="P37" s="41">
        <v>885000000000</v>
      </c>
    </row>
    <row r="38" spans="1:16" ht="15.75" customHeight="1" x14ac:dyDescent="0.15">
      <c r="A38" s="7" t="s">
        <v>52</v>
      </c>
      <c r="B38" s="31">
        <f t="shared" si="3"/>
        <v>2827466108597.2935</v>
      </c>
      <c r="C38" s="31">
        <f ca="1">IFERROR(__xludf.DUMMYFUNCTION("IFERROR(STDEV.S(FILTER(M38:O38, M38:O38&lt;&gt;"""")))"),23787811574.707)</f>
        <v>23787811574.707001</v>
      </c>
      <c r="D38" s="49">
        <v>8.4131199669999993E-3</v>
      </c>
      <c r="E38" s="16"/>
      <c r="F38" s="16">
        <v>1991.63</v>
      </c>
      <c r="G38" s="16">
        <v>1992</v>
      </c>
      <c r="H38" s="39">
        <v>2061.9</v>
      </c>
      <c r="I38" s="40"/>
      <c r="K38" s="7">
        <v>1371860000</v>
      </c>
      <c r="L38" s="7">
        <v>1426437276</v>
      </c>
      <c r="N38" s="7">
        <f t="shared" si="4"/>
        <v>2840935271999.8804</v>
      </c>
      <c r="O38" s="7">
        <f t="shared" si="5"/>
        <v>2841463053792</v>
      </c>
      <c r="P38" s="41">
        <v>2800000000000</v>
      </c>
    </row>
    <row r="39" spans="1:16" ht="15.75" customHeight="1" x14ac:dyDescent="0.15">
      <c r="A39" s="7" t="s">
        <v>53</v>
      </c>
      <c r="B39" s="31">
        <f t="shared" si="3"/>
        <v>2129996412036.1799</v>
      </c>
      <c r="C39" s="31">
        <f ca="1">IFERROR(__xludf.DUMMYFUNCTION("IFERROR(STDEV.S(FILTER(M39:O39, M39:O39&lt;&gt;"""")))"),25977655401.7339)</f>
        <v>25977655401.733898</v>
      </c>
      <c r="D39" s="49">
        <v>1.2196102889999999E-2</v>
      </c>
      <c r="E39" s="16"/>
      <c r="F39" s="16">
        <v>41904.21</v>
      </c>
      <c r="G39" s="16">
        <v>41904</v>
      </c>
      <c r="H39" s="39">
        <v>44882.1</v>
      </c>
      <c r="I39" s="40"/>
      <c r="K39" s="7">
        <v>46565430</v>
      </c>
      <c r="L39" s="7">
        <v>51188174</v>
      </c>
      <c r="N39" s="7">
        <f t="shared" si="4"/>
        <v>2144999992812.54</v>
      </c>
      <c r="O39" s="7">
        <f t="shared" si="5"/>
        <v>2144989243296</v>
      </c>
      <c r="P39" s="41">
        <v>2100000000000</v>
      </c>
    </row>
    <row r="40" spans="1:16" ht="15.75" customHeight="1" x14ac:dyDescent="0.15">
      <c r="A40" s="7" t="s">
        <v>54</v>
      </c>
      <c r="B40" s="31">
        <f t="shared" si="3"/>
        <v>1200090811.6800001</v>
      </c>
      <c r="C40" s="31">
        <f ca="1">IFERROR(__xludf.DUMMYFUNCTION("IFERROR(STDEV.S(FILTER(M40:O40, M40:O40&lt;&gt;"""")))"),152715.752475754)</f>
        <v>152715.75247575401</v>
      </c>
      <c r="D40" s="49">
        <v>1.2725349699999999E-4</v>
      </c>
      <c r="E40" s="16"/>
      <c r="F40" s="16">
        <v>1466.68</v>
      </c>
      <c r="G40" s="16">
        <v>1467</v>
      </c>
      <c r="H40" s="39">
        <v>1580.2</v>
      </c>
      <c r="I40" s="40"/>
      <c r="K40" s="7">
        <v>711500</v>
      </c>
      <c r="L40" s="7">
        <v>818178</v>
      </c>
      <c r="N40" s="7">
        <f t="shared" si="4"/>
        <v>1200005309.04</v>
      </c>
      <c r="O40" s="7">
        <f t="shared" si="5"/>
        <v>1200267126</v>
      </c>
      <c r="P40" s="41">
        <v>1200000000</v>
      </c>
    </row>
    <row r="41" spans="1:16" ht="14" x14ac:dyDescent="0.15">
      <c r="A41" s="7" t="s">
        <v>55</v>
      </c>
      <c r="B41" s="31">
        <f t="shared" si="3"/>
        <v>222000006510.47998</v>
      </c>
      <c r="C41" s="31">
        <f ca="1">IFERROR(__xludf.DUMMYFUNCTION("IFERROR(STDEV.S(FILTER(M41:O41, M41:O41&lt;&gt;"""")))"),117978.523919213)</f>
        <v>117978.523919213</v>
      </c>
      <c r="D41" s="49">
        <v>5.3143477680000002E-7</v>
      </c>
      <c r="E41" s="16"/>
      <c r="F41" s="16">
        <v>37677.040000000001</v>
      </c>
      <c r="G41" s="16">
        <v>37677</v>
      </c>
      <c r="H41" s="39">
        <v>45574.9</v>
      </c>
      <c r="I41" s="40"/>
      <c r="K41" s="7">
        <v>4975880</v>
      </c>
      <c r="L41" s="7">
        <v>5892186</v>
      </c>
      <c r="N41" s="7">
        <f t="shared" si="4"/>
        <v>222000127609.44</v>
      </c>
      <c r="O41" s="7">
        <f t="shared" si="5"/>
        <v>221999891922</v>
      </c>
      <c r="P41" s="41">
        <v>222000000000</v>
      </c>
    </row>
    <row r="42" spans="1:16" ht="14" x14ac:dyDescent="0.15">
      <c r="A42" s="7" t="s">
        <v>57</v>
      </c>
      <c r="B42" s="31">
        <f t="shared" si="3"/>
        <v>112999945629.14667</v>
      </c>
      <c r="C42" s="31">
        <f ca="1">IFERROR(__xludf.DUMMYFUNCTION("IFERROR(STDEV.S(FILTER(M42:O42, M42:O42&lt;&gt;"""")))"),183252.429980042)</f>
        <v>183252.42998004201</v>
      </c>
      <c r="D42" s="49">
        <v>1.6217036999999999E-6</v>
      </c>
      <c r="E42" s="16"/>
      <c r="F42" s="16">
        <v>22332.07</v>
      </c>
      <c r="G42" s="16">
        <v>22332</v>
      </c>
      <c r="H42" s="39">
        <v>23751.599999999999</v>
      </c>
      <c r="I42" s="40"/>
      <c r="K42" s="7">
        <v>4767120</v>
      </c>
      <c r="L42" s="7">
        <v>5059992</v>
      </c>
      <c r="N42" s="7">
        <f t="shared" si="4"/>
        <v>113000095543.44</v>
      </c>
      <c r="O42" s="7">
        <f t="shared" si="5"/>
        <v>112999741344</v>
      </c>
      <c r="P42" s="41">
        <v>113000000000</v>
      </c>
    </row>
    <row r="43" spans="1:16" ht="14" x14ac:dyDescent="0.15">
      <c r="A43" s="46" t="s">
        <v>280</v>
      </c>
      <c r="B43" s="31">
        <f t="shared" si="3"/>
        <v>76833158457.725006</v>
      </c>
      <c r="C43" s="31">
        <f ca="1">IFERROR(__xludf.DUMMYFUNCTION("IFERROR(STDEV.S(FILTER(M43:O43, M43:O43&lt;&gt;"""")))"),9850475.07720719)</f>
        <v>9850475.0772071909</v>
      </c>
      <c r="D43" s="49">
        <v>1.2820604119999999E-4</v>
      </c>
      <c r="E43" s="16"/>
      <c r="F43" s="16">
        <v>2592.4699999999998</v>
      </c>
      <c r="G43" s="16">
        <v>2592</v>
      </c>
      <c r="H43" s="39">
        <v>3410.4</v>
      </c>
      <c r="I43" s="40"/>
      <c r="K43" s="7">
        <v>24527400</v>
      </c>
      <c r="L43" s="7">
        <v>29639735</v>
      </c>
      <c r="N43" s="7">
        <f t="shared" si="4"/>
        <v>76840123795.449997</v>
      </c>
      <c r="O43" s="7">
        <f t="shared" si="5"/>
        <v>76826193120</v>
      </c>
    </row>
    <row r="44" spans="1:16" ht="14" x14ac:dyDescent="0.15">
      <c r="A44" s="7" t="s">
        <v>58</v>
      </c>
      <c r="B44" s="31">
        <f t="shared" si="3"/>
        <v>33913578532.116669</v>
      </c>
      <c r="C44" s="31">
        <f ca="1">IFERROR(__xludf.DUMMYFUNCTION("IFERROR(STDEV.S(FILTER(M44:O44, M44:O44&lt;&gt;"""")))"),3279137181.65615)</f>
        <v>3279137181.6561499</v>
      </c>
      <c r="D44" s="49">
        <v>9.6690981120000005E-2</v>
      </c>
      <c r="E44" s="16"/>
      <c r="F44" s="16">
        <v>9719.0499999999993</v>
      </c>
      <c r="G44" s="16">
        <v>9719</v>
      </c>
      <c r="H44" s="39">
        <v>8894.9</v>
      </c>
      <c r="I44" s="42">
        <v>118313</v>
      </c>
      <c r="K44" s="7">
        <v>4201600</v>
      </c>
      <c r="L44" s="7">
        <v>3294607</v>
      </c>
      <c r="N44" s="7">
        <f t="shared" si="4"/>
        <v>32020450163.349998</v>
      </c>
      <c r="O44" s="7">
        <f t="shared" si="5"/>
        <v>32020285433</v>
      </c>
      <c r="P44" s="41">
        <v>37700000000</v>
      </c>
    </row>
    <row r="45" spans="1:16" ht="14" x14ac:dyDescent="0.15">
      <c r="A45" s="7" t="s">
        <v>59</v>
      </c>
      <c r="B45" s="31">
        <f t="shared" si="3"/>
        <v>38111894657.303337</v>
      </c>
      <c r="C45" s="31">
        <f ca="1">IFERROR(__xludf.DUMMYFUNCTION("IFERROR(STDEV.S(FILTER(M45:O45, M45:O45&lt;&gt;"""")))"),10526915.3736023)</f>
        <v>10526915.373602301</v>
      </c>
      <c r="D45" s="49">
        <v>2.7621075960000002E-4</v>
      </c>
      <c r="E45" s="16"/>
      <c r="F45" s="16">
        <v>3427.39</v>
      </c>
      <c r="G45" s="16">
        <v>3427</v>
      </c>
      <c r="H45" s="39">
        <v>3332.2</v>
      </c>
      <c r="I45" s="40"/>
      <c r="K45" s="7">
        <v>11285770</v>
      </c>
      <c r="L45" s="7">
        <v>11122169</v>
      </c>
      <c r="N45" s="7">
        <f t="shared" si="4"/>
        <v>38120010808.909996</v>
      </c>
      <c r="O45" s="7">
        <f t="shared" si="5"/>
        <v>38115673163</v>
      </c>
      <c r="P45" s="41">
        <v>38100000000</v>
      </c>
    </row>
    <row r="46" spans="1:16" ht="14" x14ac:dyDescent="0.15">
      <c r="A46" s="7" t="s">
        <v>61</v>
      </c>
      <c r="B46" s="31">
        <f t="shared" si="3"/>
        <v>779951828.48000002</v>
      </c>
      <c r="C46" s="31">
        <f ca="1">IFERROR(__xludf.DUMMYFUNCTION("IFERROR(STDEV.S(FILTER(M46:O46, M46:O46&lt;&gt;"""")))"),89372.7629850076)</f>
        <v>89372.762985007605</v>
      </c>
      <c r="D46" s="49">
        <v>1.145875421E-4</v>
      </c>
      <c r="E46" s="7"/>
      <c r="F46" s="7">
        <v>592.12</v>
      </c>
      <c r="G46" s="7">
        <v>592</v>
      </c>
      <c r="H46" s="38">
        <v>676.9</v>
      </c>
      <c r="I46" s="40">
        <v>374</v>
      </c>
      <c r="K46" s="7">
        <v>1201800</v>
      </c>
      <c r="L46" s="7">
        <v>1317312</v>
      </c>
      <c r="N46" s="7">
        <f t="shared" si="4"/>
        <v>780006781.44000006</v>
      </c>
      <c r="O46" s="7">
        <f t="shared" si="5"/>
        <v>779848704</v>
      </c>
      <c r="P46" s="41">
        <v>780000000</v>
      </c>
    </row>
    <row r="47" spans="1:16" ht="14" x14ac:dyDescent="0.15">
      <c r="A47" s="7" t="s">
        <v>62</v>
      </c>
      <c r="B47" s="31">
        <f t="shared" si="3"/>
        <v>13188521906.756668</v>
      </c>
      <c r="C47" s="31">
        <f ca="1">IFERROR(__xludf.DUMMYFUNCTION("IFERROR(STDEV.S(FILTER(M47:O47, M47:O47&lt;&gt;"""")))"),10073441.6951615)</f>
        <v>10073441.695161499</v>
      </c>
      <c r="D47" s="49">
        <v>7.6380368979999996E-4</v>
      </c>
      <c r="E47" s="16"/>
      <c r="F47" s="16">
        <v>1251.69</v>
      </c>
      <c r="G47" s="16">
        <v>1252</v>
      </c>
      <c r="H47" s="39">
        <v>1249.4000000000001</v>
      </c>
      <c r="I47" s="42">
        <v>15201</v>
      </c>
      <c r="K47" s="7">
        <v>10525350</v>
      </c>
      <c r="L47" s="7">
        <v>10530683</v>
      </c>
      <c r="N47" s="7">
        <f t="shared" si="4"/>
        <v>13181150604.27</v>
      </c>
      <c r="O47" s="7">
        <f t="shared" si="5"/>
        <v>13184415116</v>
      </c>
      <c r="P47" s="41">
        <v>13200000000</v>
      </c>
    </row>
    <row r="48" spans="1:16" ht="28" x14ac:dyDescent="0.15">
      <c r="A48" s="7" t="s">
        <v>278</v>
      </c>
      <c r="B48" s="31">
        <f t="shared" si="3"/>
        <v>899991493535.58337</v>
      </c>
      <c r="C48" s="31">
        <f ca="1">IFERROR(__xludf.DUMMYFUNCTION("IFERROR(STDEV.S(FILTER(M48:O48, M48:O48&lt;&gt;"""")))"),14417755.7027583)</f>
        <v>14417755.702758299</v>
      </c>
      <c r="D48" s="49">
        <v>1.6019879970000001E-5</v>
      </c>
      <c r="E48" s="16"/>
      <c r="F48" s="16">
        <v>9077.25</v>
      </c>
      <c r="G48" s="16">
        <v>9077</v>
      </c>
      <c r="H48" s="39">
        <v>12207.9</v>
      </c>
      <c r="I48" s="40"/>
      <c r="K48" s="7">
        <v>78403240</v>
      </c>
      <c r="L48" s="7">
        <v>99148931</v>
      </c>
      <c r="N48" s="7">
        <f t="shared" si="4"/>
        <v>899999633919.75</v>
      </c>
      <c r="O48" s="7">
        <f t="shared" si="5"/>
        <v>899974846687</v>
      </c>
      <c r="P48" s="41">
        <v>900000000000</v>
      </c>
    </row>
    <row r="49" spans="1:16" ht="14" x14ac:dyDescent="0.15">
      <c r="A49" s="7" t="s">
        <v>63</v>
      </c>
      <c r="B49" s="31">
        <f t="shared" si="3"/>
        <v>5999121739.8600006</v>
      </c>
      <c r="C49" s="31">
        <f ca="1">IFERROR(__xludf.DUMMYFUNCTION("IFERROR(STDEV.S(FILTER(M49:O49, M49:O49&lt;&gt;"""")))"),1546955.18510861)</f>
        <v>1546955.18510861</v>
      </c>
      <c r="D49" s="49">
        <v>2.5786360940000002E-4</v>
      </c>
      <c r="E49" s="16"/>
      <c r="F49" s="16">
        <v>1024.46</v>
      </c>
      <c r="G49" s="16">
        <v>1024</v>
      </c>
      <c r="H49" s="39">
        <v>1063.2</v>
      </c>
      <c r="I49" s="42">
        <v>16340</v>
      </c>
      <c r="K49" s="7">
        <v>5643480</v>
      </c>
      <c r="L49" s="7">
        <v>5856773</v>
      </c>
      <c r="N49" s="7">
        <f t="shared" si="4"/>
        <v>6000029667.5799999</v>
      </c>
      <c r="O49" s="7">
        <f t="shared" si="5"/>
        <v>5997335552</v>
      </c>
      <c r="P49" s="41">
        <v>6000000000</v>
      </c>
    </row>
    <row r="50" spans="1:16" ht="14" x14ac:dyDescent="0.15">
      <c r="A50" s="7" t="s">
        <v>64</v>
      </c>
      <c r="B50" s="31">
        <f t="shared" si="3"/>
        <v>300165728.51999998</v>
      </c>
      <c r="C50" s="31">
        <f ca="1">IFERROR(__xludf.DUMMYFUNCTION("IFERROR(STDEV.S(FILTER(M50:O50, M50:O50&lt;&gt;"""")))"),285391.171759207)</f>
        <v>285391.17175920698</v>
      </c>
      <c r="D50" s="49">
        <v>9.5077866869999999E-4</v>
      </c>
      <c r="E50" s="7"/>
      <c r="F50" s="7">
        <v>267.56</v>
      </c>
      <c r="G50" s="7">
        <v>268</v>
      </c>
      <c r="H50" s="38">
        <v>328.9</v>
      </c>
      <c r="I50" s="40"/>
      <c r="K50" s="7">
        <v>1002720</v>
      </c>
      <c r="L50" s="7">
        <v>1121251</v>
      </c>
      <c r="N50" s="7">
        <f t="shared" si="4"/>
        <v>300001917.56</v>
      </c>
      <c r="O50" s="7">
        <f t="shared" si="5"/>
        <v>300495268</v>
      </c>
      <c r="P50" s="41">
        <v>300000000</v>
      </c>
    </row>
    <row r="51" spans="1:16" ht="14" x14ac:dyDescent="0.15">
      <c r="A51" s="7" t="s">
        <v>65</v>
      </c>
      <c r="B51" s="31">
        <f t="shared" si="3"/>
        <v>200039339.43333331</v>
      </c>
      <c r="C51" s="31">
        <f ca="1">IFERROR(__xludf.DUMMYFUNCTION("IFERROR(STDEV.S(FILTER(M51:O51, M51:O51&lt;&gt;"""")))"),34234.348110662)</f>
        <v>34234.348110662002</v>
      </c>
      <c r="D51" s="49">
        <v>1.7113807820000001E-4</v>
      </c>
      <c r="E51" s="16"/>
      <c r="F51" s="16">
        <v>2976.1</v>
      </c>
      <c r="G51" s="16">
        <v>2976</v>
      </c>
      <c r="H51" s="39">
        <v>2748.1</v>
      </c>
      <c r="I51" s="40"/>
      <c r="K51" s="7">
        <v>70370</v>
      </c>
      <c r="L51" s="7">
        <v>67223</v>
      </c>
      <c r="N51" s="7">
        <f t="shared" si="4"/>
        <v>200062370.29999998</v>
      </c>
      <c r="O51" s="7">
        <f t="shared" si="5"/>
        <v>200055648</v>
      </c>
      <c r="P51" s="41">
        <v>200000000</v>
      </c>
    </row>
    <row r="52" spans="1:16" ht="28" x14ac:dyDescent="0.15">
      <c r="A52" s="7" t="s">
        <v>279</v>
      </c>
      <c r="B52" s="31">
        <f t="shared" si="3"/>
        <v>23501311087.333332</v>
      </c>
      <c r="C52" s="31">
        <f ca="1">IFERROR(__xludf.DUMMYFUNCTION("IFERROR(STDEV.S(FILTER(M52:O52, M52:O52&lt;&gt;"""")))"),2253552.54999746)</f>
        <v>2253552.5499974601</v>
      </c>
      <c r="D52" s="49">
        <v>9.5890503369999998E-5</v>
      </c>
      <c r="E52" s="16"/>
      <c r="F52" s="16">
        <v>2112.65</v>
      </c>
      <c r="G52" s="16">
        <v>2113</v>
      </c>
      <c r="H52" s="39">
        <v>2258.3000000000002</v>
      </c>
      <c r="I52" s="40"/>
      <c r="K52" s="7">
        <v>10315530</v>
      </c>
      <c r="L52" s="7">
        <v>11123480</v>
      </c>
      <c r="N52" s="7">
        <f t="shared" si="4"/>
        <v>23500020022</v>
      </c>
      <c r="O52" s="7">
        <f t="shared" si="5"/>
        <v>23503913240</v>
      </c>
      <c r="P52" s="41">
        <v>23500000000</v>
      </c>
    </row>
    <row r="53" spans="1:16" ht="14" x14ac:dyDescent="0.15">
      <c r="A53" s="7" t="s">
        <v>234</v>
      </c>
      <c r="B53" s="31">
        <f t="shared" si="3"/>
        <v>8210211359.1733332</v>
      </c>
      <c r="C53" s="31">
        <f ca="1">IFERROR(__xludf.DUMMYFUNCTION("IFERROR(STDEV.S(FILTER(M53:O53, M53:O53&lt;&gt;"""")))"),8848283.43141481)</f>
        <v>8848283.4314148091</v>
      </c>
      <c r="D53" s="49">
        <v>1.077716887E-3</v>
      </c>
      <c r="E53" s="16"/>
      <c r="F53" s="16">
        <v>6084.56</v>
      </c>
      <c r="G53" s="16">
        <v>6085</v>
      </c>
      <c r="H53" s="39">
        <v>6773.5</v>
      </c>
      <c r="I53" s="40"/>
      <c r="K53" s="7"/>
      <c r="L53" s="7">
        <v>1350142</v>
      </c>
      <c r="N53" s="7">
        <f t="shared" si="4"/>
        <v>8215020007.5200005</v>
      </c>
      <c r="O53" s="7">
        <f t="shared" si="5"/>
        <v>8215614070</v>
      </c>
      <c r="P53" s="41">
        <v>8200000000</v>
      </c>
    </row>
    <row r="54" spans="1:16" ht="14" x14ac:dyDescent="0.15">
      <c r="A54" s="7" t="s">
        <v>66</v>
      </c>
      <c r="B54" s="31">
        <f t="shared" si="3"/>
        <v>442399095206.70001</v>
      </c>
      <c r="C54" s="31">
        <f ca="1">IFERROR(__xludf.DUMMYFUNCTION("IFERROR(STDEV.S(FILTER(M54:O54, M54:O54&lt;&gt;"""")))"),1540374.08486598)</f>
        <v>1540374.0848659801</v>
      </c>
      <c r="D54" s="49">
        <v>3.4818653600000002E-6</v>
      </c>
      <c r="E54" s="16"/>
      <c r="F54" s="16">
        <v>25019.15</v>
      </c>
      <c r="G54" s="16">
        <v>25019</v>
      </c>
      <c r="H54" s="39">
        <v>27818.5</v>
      </c>
      <c r="I54" s="40"/>
      <c r="K54" s="7">
        <v>10315530</v>
      </c>
      <c r="L54" s="7">
        <v>17682454</v>
      </c>
      <c r="N54" s="7">
        <f t="shared" si="4"/>
        <v>442399968994.10004</v>
      </c>
      <c r="O54" s="7">
        <f t="shared" si="5"/>
        <v>442397316626</v>
      </c>
      <c r="P54" s="41">
        <v>442400000000</v>
      </c>
    </row>
    <row r="55" spans="1:16" ht="14" x14ac:dyDescent="0.15">
      <c r="A55" s="7" t="s">
        <v>67</v>
      </c>
      <c r="B55" s="31">
        <f t="shared" si="3"/>
        <v>999445214.01333332</v>
      </c>
      <c r="C55" s="31">
        <f ca="1">IFERROR(__xludf.DUMMYFUNCTION("IFERROR(STDEV.S(FILTER(M55:O55, M55:O55&lt;&gt;"""")))"),733912.145060749)</f>
        <v>733912.14506074903</v>
      </c>
      <c r="D55" s="49">
        <v>7.3431953519999997E-4</v>
      </c>
      <c r="E55" s="7"/>
      <c r="F55" s="7">
        <v>9.01</v>
      </c>
      <c r="G55" s="7">
        <v>9</v>
      </c>
      <c r="H55" s="38">
        <v>19.600000000000001</v>
      </c>
      <c r="I55" s="40"/>
      <c r="K55" s="7">
        <v>97528650</v>
      </c>
      <c r="L55" s="7">
        <v>110957004</v>
      </c>
      <c r="N55" s="7">
        <f t="shared" si="4"/>
        <v>999722606.03999996</v>
      </c>
      <c r="O55" s="7">
        <f t="shared" si="5"/>
        <v>998613036</v>
      </c>
      <c r="P55" s="41">
        <v>1000000000</v>
      </c>
    </row>
    <row r="56" spans="1:16" ht="14" x14ac:dyDescent="0.15">
      <c r="A56" s="7" t="s">
        <v>68</v>
      </c>
      <c r="B56" s="31">
        <f t="shared" si="3"/>
        <v>15618982402.896667</v>
      </c>
      <c r="C56" s="31">
        <f ca="1">IFERROR(__xludf.DUMMYFUNCTION("IFERROR(STDEV.S(FILTER(M56:O56, M56:O56&lt;&gt;"""")))"),16510535.452359)</f>
        <v>16510535.452359</v>
      </c>
      <c r="D56" s="49">
        <v>1.0570813790000001E-3</v>
      </c>
      <c r="E56" s="16"/>
      <c r="F56" s="16">
        <v>2498.4899999999998</v>
      </c>
      <c r="G56" s="16">
        <v>2498</v>
      </c>
      <c r="H56" s="39">
        <v>2488.4</v>
      </c>
      <c r="I56" s="40"/>
      <c r="K56" s="7">
        <v>6162950</v>
      </c>
      <c r="L56" s="7">
        <v>6255781</v>
      </c>
      <c r="N56" s="7">
        <f t="shared" si="4"/>
        <v>15630006270.689999</v>
      </c>
      <c r="O56" s="7">
        <f t="shared" si="5"/>
        <v>15626940938</v>
      </c>
      <c r="P56" s="41">
        <v>15600000000</v>
      </c>
    </row>
    <row r="57" spans="1:16" ht="14" x14ac:dyDescent="0.15">
      <c r="A57" s="7" t="s">
        <v>282</v>
      </c>
      <c r="B57" s="31">
        <f t="shared" si="3"/>
        <v>26000140610.773335</v>
      </c>
      <c r="C57" s="31">
        <f ca="1">IFERROR(__xludf.DUMMYFUNCTION("IFERROR(STDEV.S(FILTER(M57:O57, M57:O57&lt;&gt;"""")))"),140634.00575454)</f>
        <v>140634.00575454001</v>
      </c>
      <c r="D57" s="49">
        <v>5.4089709690000003E-6</v>
      </c>
      <c r="E57" s="16"/>
      <c r="F57" s="16">
        <v>14782.92</v>
      </c>
      <c r="G57" s="16">
        <v>14783</v>
      </c>
      <c r="H57" s="39">
        <v>23020.6</v>
      </c>
      <c r="I57" s="40"/>
      <c r="K57" s="7">
        <v>1399830</v>
      </c>
      <c r="L57" s="7">
        <v>1758796</v>
      </c>
      <c r="N57" s="7">
        <f t="shared" si="4"/>
        <v>26000140564.32</v>
      </c>
      <c r="O57" s="7">
        <f t="shared" si="5"/>
        <v>26000281268</v>
      </c>
      <c r="P57" s="41">
        <v>26000000000</v>
      </c>
    </row>
    <row r="58" spans="1:16" ht="14" x14ac:dyDescent="0.15">
      <c r="A58" s="7" t="s">
        <v>69</v>
      </c>
      <c r="B58" s="31">
        <f t="shared" si="3"/>
        <v>2800256869.1733336</v>
      </c>
      <c r="C58" s="31">
        <f ca="1">IFERROR(__xludf.DUMMYFUNCTION("IFERROR(STDEV.S(FILTER(M58:O58, M58:O58&lt;&gt;"""")))"),430457.310829283)</f>
        <v>430457.31082928297</v>
      </c>
      <c r="D58" s="49">
        <v>1.5372065169999999E-4</v>
      </c>
      <c r="E58" s="7"/>
      <c r="F58" s="7">
        <v>835.78</v>
      </c>
      <c r="G58" s="7">
        <v>836</v>
      </c>
      <c r="H58" s="38"/>
      <c r="I58" s="40"/>
      <c r="K58" s="7">
        <v>3095170</v>
      </c>
      <c r="L58" s="7">
        <v>3350184</v>
      </c>
      <c r="N58" s="7">
        <f t="shared" si="4"/>
        <v>2800016783.52</v>
      </c>
      <c r="O58" s="7">
        <f t="shared" si="5"/>
        <v>2800753824</v>
      </c>
      <c r="P58" s="41">
        <v>2800000000</v>
      </c>
    </row>
    <row r="59" spans="1:16" ht="14" x14ac:dyDescent="0.15">
      <c r="A59" s="7" t="s">
        <v>70</v>
      </c>
      <c r="B59" s="31">
        <f t="shared" si="3"/>
        <v>12712008491.666666</v>
      </c>
      <c r="C59" s="31">
        <f ca="1">IFERROR(__xludf.DUMMYFUNCTION("IFERROR(STDEV.S(FILTER(M59:O59, M59:O59&lt;&gt;"""")))"),10401577.2427888)</f>
        <v>10401577.242788799</v>
      </c>
      <c r="D59" s="49">
        <v>8.182481352E-4</v>
      </c>
      <c r="E59" s="16"/>
      <c r="F59" s="16">
        <v>9549.7000000000007</v>
      </c>
      <c r="G59" s="16">
        <v>9550</v>
      </c>
      <c r="H59" s="39">
        <v>9668.7000000000007</v>
      </c>
      <c r="I59" s="42">
        <v>12347</v>
      </c>
      <c r="K59" s="7">
        <v>1314550</v>
      </c>
      <c r="L59" s="7">
        <v>1331750</v>
      </c>
      <c r="N59" s="7">
        <f t="shared" si="4"/>
        <v>12717812975.000002</v>
      </c>
      <c r="O59" s="7">
        <f t="shared" si="5"/>
        <v>12718212500</v>
      </c>
      <c r="P59" s="41">
        <v>12700000000</v>
      </c>
    </row>
    <row r="60" spans="1:16" ht="14" x14ac:dyDescent="0.15">
      <c r="A60" s="7" t="s">
        <v>283</v>
      </c>
      <c r="B60" s="31">
        <f t="shared" si="3"/>
        <v>2626684364.0066667</v>
      </c>
      <c r="C60" s="31">
        <f ca="1">IFERROR(__xludf.DUMMYFUNCTION("IFERROR(STDEV.S(FILTER(M60:O60, M60:O60&lt;&gt;"""")))"),23109340.2635889)</f>
        <v>23109340.263588902</v>
      </c>
      <c r="D60" s="49">
        <v>8.797912905E-3</v>
      </c>
      <c r="E60" s="16"/>
      <c r="F60" s="16">
        <v>2187.98</v>
      </c>
      <c r="G60" s="16">
        <v>2188</v>
      </c>
      <c r="H60" s="39">
        <v>2038.5</v>
      </c>
      <c r="I60" s="40"/>
      <c r="K60" s="7">
        <v>1136300</v>
      </c>
      <c r="L60" s="7">
        <v>1206599</v>
      </c>
      <c r="N60" s="7">
        <f t="shared" si="4"/>
        <v>2640014480.02</v>
      </c>
      <c r="O60" s="7">
        <f t="shared" si="5"/>
        <v>2640038612</v>
      </c>
      <c r="P60" s="41">
        <v>2600000000</v>
      </c>
    </row>
    <row r="61" spans="1:16" ht="14" x14ac:dyDescent="0.15">
      <c r="A61" s="7" t="s">
        <v>71</v>
      </c>
      <c r="B61" s="31">
        <f t="shared" si="3"/>
        <v>122005674934.43333</v>
      </c>
      <c r="C61" s="31">
        <f ca="1">IFERROR(__xludf.DUMMYFUNCTION("IFERROR(STDEV.S(FILTER(M61:O61, M61:O61&lt;&gt;"""")))"),9337104.16555193)</f>
        <v>9337104.1655519307</v>
      </c>
      <c r="D61" s="49">
        <v>7.6530080840000005E-5</v>
      </c>
      <c r="E61" s="7"/>
      <c r="F61" s="7">
        <v>998.87</v>
      </c>
      <c r="G61" s="7">
        <v>999</v>
      </c>
      <c r="H61" s="39">
        <v>1253</v>
      </c>
      <c r="I61" s="40"/>
      <c r="K61" s="7">
        <v>101115610</v>
      </c>
      <c r="L61" s="7">
        <v>122138590</v>
      </c>
      <c r="N61" s="7">
        <f t="shared" si="4"/>
        <v>122000573393.3</v>
      </c>
      <c r="O61" s="7">
        <f t="shared" si="5"/>
        <v>122016451410</v>
      </c>
      <c r="P61" s="41">
        <v>122000000000</v>
      </c>
    </row>
    <row r="62" spans="1:16" ht="14" x14ac:dyDescent="0.15">
      <c r="A62" s="7" t="s">
        <v>74</v>
      </c>
      <c r="B62" s="31">
        <f t="shared" si="3"/>
        <v>28566807553.383331</v>
      </c>
      <c r="C62" s="31">
        <f ca="1">IFERROR(__xludf.DUMMYFUNCTION("IFERROR(STDEV.S(FILTER(M62:O62, M62:O62&lt;&gt;"""")))"),28745511.1196762)</f>
        <v>28745511.119676199</v>
      </c>
      <c r="D62" s="49">
        <v>1.006255637E-3</v>
      </c>
      <c r="E62" s="16"/>
      <c r="F62" s="16">
        <v>31143.95</v>
      </c>
      <c r="G62" s="16">
        <v>31144</v>
      </c>
      <c r="H62" s="39">
        <v>32230.5</v>
      </c>
      <c r="I62" s="40"/>
      <c r="K62" s="7">
        <v>917590</v>
      </c>
      <c r="L62" s="7">
        <v>916717</v>
      </c>
      <c r="N62" s="7">
        <f t="shared" si="4"/>
        <v>28550188412.150002</v>
      </c>
      <c r="O62" s="7">
        <f t="shared" si="5"/>
        <v>28550234248</v>
      </c>
      <c r="P62" s="41">
        <v>28600000000</v>
      </c>
    </row>
    <row r="63" spans="1:16" ht="14" x14ac:dyDescent="0.15">
      <c r="A63" s="7" t="s">
        <v>75</v>
      </c>
      <c r="B63" s="31">
        <f t="shared" si="3"/>
        <v>107001507998.01332</v>
      </c>
      <c r="C63" s="31">
        <f ca="1">IFERROR(__xludf.DUMMYFUNCTION("IFERROR(STDEV.S(FILTER(M63:O63, M63:O63&lt;&gt;"""")))"),1844218.17605029)</f>
        <v>1844218.17605029</v>
      </c>
      <c r="D63" s="49">
        <v>1.723544098E-5</v>
      </c>
      <c r="E63" s="16"/>
      <c r="F63" s="16">
        <v>19310.53</v>
      </c>
      <c r="G63" s="16">
        <v>19311</v>
      </c>
      <c r="H63" s="39">
        <v>19591.599999999999</v>
      </c>
      <c r="I63" s="42">
        <v>110000</v>
      </c>
      <c r="K63" s="7">
        <v>5461510</v>
      </c>
      <c r="L63" s="7">
        <v>5541068</v>
      </c>
      <c r="N63" s="7">
        <f t="shared" si="4"/>
        <v>107000959846.03999</v>
      </c>
      <c r="O63" s="7">
        <f t="shared" si="5"/>
        <v>107003564148</v>
      </c>
      <c r="P63" s="41">
        <v>107000000000</v>
      </c>
    </row>
    <row r="64" spans="1:16" ht="14" x14ac:dyDescent="0.15">
      <c r="A64" s="7" t="s">
        <v>76</v>
      </c>
      <c r="B64" s="31">
        <f t="shared" si="3"/>
        <v>196542644092.17667</v>
      </c>
      <c r="C64" s="31">
        <f ca="1">IFERROR(__xludf.DUMMYFUNCTION("IFERROR(STDEV.S(FILTER(M64:O64, M64:O64&lt;&gt;"""")))"),2994158064.33069)</f>
        <v>2994158064.3306899</v>
      </c>
      <c r="D64" s="49">
        <v>1.5234139529999999E-2</v>
      </c>
      <c r="E64" s="16"/>
      <c r="F64" s="16">
        <v>2947.99</v>
      </c>
      <c r="G64" s="16">
        <v>2948</v>
      </c>
      <c r="H64" s="39">
        <v>3015.9</v>
      </c>
      <c r="I64" s="42">
        <v>206236</v>
      </c>
      <c r="K64" s="7">
        <v>66312070</v>
      </c>
      <c r="L64" s="7">
        <v>66083547</v>
      </c>
      <c r="N64" s="7">
        <f t="shared" si="4"/>
        <v>194813635720.53</v>
      </c>
      <c r="O64" s="7">
        <f t="shared" si="5"/>
        <v>194814296556</v>
      </c>
      <c r="P64" s="41">
        <v>200000000000</v>
      </c>
    </row>
    <row r="65" spans="1:16" ht="14" x14ac:dyDescent="0.15">
      <c r="A65" s="7" t="s">
        <v>79</v>
      </c>
      <c r="B65" s="31">
        <f t="shared" si="3"/>
        <v>163999798982.93335</v>
      </c>
      <c r="C65" s="31">
        <f ca="1">IFERROR(__xludf.DUMMYFUNCTION("IFERROR(STDEV.S(FILTER(M65:O65, M65:O65&lt;&gt;"""")))"),733962.624781426)</f>
        <v>733962.62478142604</v>
      </c>
      <c r="D65" s="49">
        <v>4.4753873440000002E-6</v>
      </c>
      <c r="E65" s="16"/>
      <c r="F65" s="16">
        <v>69002.600000000006</v>
      </c>
      <c r="G65" s="16">
        <v>69002</v>
      </c>
      <c r="H65" s="39">
        <v>87433.4</v>
      </c>
      <c r="I65" s="40"/>
      <c r="K65" s="7">
        <v>1978400</v>
      </c>
      <c r="L65" s="7">
        <v>2376728</v>
      </c>
      <c r="N65" s="7">
        <f t="shared" si="4"/>
        <v>164000411492.80002</v>
      </c>
      <c r="O65" s="7">
        <f t="shared" si="5"/>
        <v>163998985456</v>
      </c>
      <c r="P65" s="41">
        <v>164000000000</v>
      </c>
    </row>
    <row r="66" spans="1:16" ht="14" x14ac:dyDescent="0.15">
      <c r="A66" s="7" t="s">
        <v>80</v>
      </c>
      <c r="B66" s="31">
        <f t="shared" si="3"/>
        <v>3000352151.4200001</v>
      </c>
      <c r="C66" s="31">
        <f ca="1">IFERROR(__xludf.DUMMYFUNCTION("IFERROR(STDEV.S(FILTER(M66:O66, M66:O66&lt;&gt;"""")))"),609819.222838616)</f>
        <v>609819.222838616</v>
      </c>
      <c r="D66" s="49">
        <v>2.032492161E-4</v>
      </c>
      <c r="E66" s="16"/>
      <c r="F66" s="16">
        <v>1164.5899999999999</v>
      </c>
      <c r="G66" s="16">
        <v>1165</v>
      </c>
      <c r="H66" s="39">
        <v>1564.3</v>
      </c>
      <c r="I66" s="40"/>
      <c r="K66" s="7">
        <v>2164530</v>
      </c>
      <c r="L66" s="7">
        <v>2576014</v>
      </c>
      <c r="N66" s="7">
        <f t="shared" si="4"/>
        <v>3000000144.2599998</v>
      </c>
      <c r="O66" s="7">
        <f t="shared" si="5"/>
        <v>3001056310</v>
      </c>
      <c r="P66" s="41">
        <v>3000000000</v>
      </c>
    </row>
    <row r="67" spans="1:16" ht="14" x14ac:dyDescent="0.15">
      <c r="A67" s="7" t="s">
        <v>81</v>
      </c>
      <c r="B67" s="31">
        <f t="shared" ref="B67:B98" si="6">IF(COUNTA(N67:P67) = 0, "", IFERROR(AVERAGEIF(N67:P67, "&lt;&gt;"), ""))</f>
        <v>58953872891</v>
      </c>
      <c r="C67" s="31">
        <f ca="1">IFERROR(__xludf.DUMMYFUNCTION("IFERROR(STDEV.S(FILTER(M67:O67, M67:O67&lt;&gt;"""")))"),739475895.66634)</f>
        <v>739475895.66633999</v>
      </c>
      <c r="D67" s="49">
        <v>1.2543296299999999E-2</v>
      </c>
      <c r="E67" s="16"/>
      <c r="F67" s="16">
        <v>15674.34</v>
      </c>
      <c r="G67" s="16">
        <v>15674</v>
      </c>
      <c r="H67" s="39">
        <v>15597</v>
      </c>
      <c r="I67" s="40"/>
      <c r="K67" s="7">
        <v>3719410</v>
      </c>
      <c r="L67" s="7">
        <v>3788450</v>
      </c>
      <c r="N67" s="7">
        <f t="shared" ref="N67:N98" si="7">IF(OR(ISBLANK(F67), ISBLANK(L67)), "", F67 * L67)</f>
        <v>59381453373</v>
      </c>
      <c r="O67" s="7">
        <f t="shared" ref="O67:O98" si="8">IF(OR(ISBLANK(G67), ISBLANK(L67)), "", G67 * L67)</f>
        <v>59380165300</v>
      </c>
      <c r="P67" s="41">
        <v>58100000000</v>
      </c>
    </row>
    <row r="68" spans="1:16" ht="14" x14ac:dyDescent="0.15">
      <c r="A68" s="7" t="s">
        <v>82</v>
      </c>
      <c r="B68" s="31">
        <f t="shared" si="6"/>
        <v>107426312851.27998</v>
      </c>
      <c r="C68" s="31">
        <f ca="1">IFERROR(__xludf.DUMMYFUNCTION("IFERROR(STDEV.S(FILTER(M68:O68, M68:O68&lt;&gt;"""")))"),369231910.999562)</f>
        <v>369231910.99956203</v>
      </c>
      <c r="D68" s="49">
        <v>3.4370714319999999E-3</v>
      </c>
      <c r="E68" s="16"/>
      <c r="F68" s="16">
        <v>1286.1199999999999</v>
      </c>
      <c r="G68" s="16">
        <v>1286</v>
      </c>
      <c r="H68" s="39">
        <v>1321.3</v>
      </c>
      <c r="I68" s="42">
        <v>173000</v>
      </c>
      <c r="K68" s="7">
        <v>80982500</v>
      </c>
      <c r="L68" s="7">
        <v>83697082</v>
      </c>
      <c r="N68" s="7">
        <f t="shared" si="7"/>
        <v>107644491101.84</v>
      </c>
      <c r="O68" s="7">
        <f t="shared" si="8"/>
        <v>107634447452</v>
      </c>
      <c r="P68" s="41">
        <v>107000000000</v>
      </c>
    </row>
    <row r="69" spans="1:16" ht="14" x14ac:dyDescent="0.15">
      <c r="A69" s="7" t="s">
        <v>83</v>
      </c>
      <c r="B69" s="31">
        <f t="shared" si="6"/>
        <v>30302435558.579998</v>
      </c>
      <c r="C69" s="31">
        <f ca="1">IFERROR(__xludf.DUMMYFUNCTION("IFERROR(STDEV.S(FILTER(M69:O69, M69:O69&lt;&gt;"""")))"),4293473.22980891)</f>
        <v>4293473.2298089098</v>
      </c>
      <c r="D69" s="49">
        <v>1.4168739739999999E-4</v>
      </c>
      <c r="E69" s="7"/>
      <c r="F69" s="7">
        <v>931.77</v>
      </c>
      <c r="G69" s="7">
        <v>932</v>
      </c>
      <c r="H69" s="39">
        <v>1123.8</v>
      </c>
      <c r="I69" s="40"/>
      <c r="K69" s="7">
        <v>28041590</v>
      </c>
      <c r="L69" s="7">
        <v>32518662</v>
      </c>
      <c r="N69" s="7">
        <f t="shared" si="7"/>
        <v>30299913691.739998</v>
      </c>
      <c r="O69" s="7">
        <f t="shared" si="8"/>
        <v>30307392984</v>
      </c>
      <c r="P69" s="41">
        <v>30300000000</v>
      </c>
    </row>
    <row r="70" spans="1:16" ht="14" x14ac:dyDescent="0.15">
      <c r="A70" s="7" t="s">
        <v>85</v>
      </c>
      <c r="B70" s="31">
        <f t="shared" si="6"/>
        <v>58039150964.68</v>
      </c>
      <c r="C70" s="31">
        <f ca="1">IFERROR(__xludf.DUMMYFUNCTION("IFERROR(STDEV.S(FILTER(M70:O70, M70:O70&lt;&gt;"""")))"),33959166.1400262)</f>
        <v>33959166.140026197</v>
      </c>
      <c r="D70" s="49">
        <v>5.8510790690000005E-4</v>
      </c>
      <c r="E70" s="16"/>
      <c r="F70" s="16">
        <v>5487.64</v>
      </c>
      <c r="G70" s="16">
        <v>5488</v>
      </c>
      <c r="H70" s="39">
        <v>5324.8</v>
      </c>
      <c r="I70" s="42">
        <v>72000</v>
      </c>
      <c r="K70" s="7">
        <v>10892410</v>
      </c>
      <c r="L70" s="7">
        <v>10579561</v>
      </c>
      <c r="N70" s="7">
        <f t="shared" si="7"/>
        <v>58056822126.040001</v>
      </c>
      <c r="O70" s="7">
        <f t="shared" si="8"/>
        <v>58060630768</v>
      </c>
      <c r="P70" s="41">
        <v>58000000000</v>
      </c>
    </row>
    <row r="71" spans="1:16" ht="14" x14ac:dyDescent="0.15">
      <c r="A71" s="7" t="s">
        <v>86</v>
      </c>
      <c r="B71" s="31">
        <f t="shared" si="6"/>
        <v>200008986.38333333</v>
      </c>
      <c r="C71" s="31">
        <f ca="1">IFERROR(__xludf.DUMMYFUNCTION("IFERROR(STDEV.S(FILTER(M71:O71, M71:O71&lt;&gt;"""")))"),7976.86039371016)</f>
        <v>7976.8603937101598</v>
      </c>
      <c r="D71" s="49">
        <v>3.9882509970000001E-5</v>
      </c>
      <c r="E71" s="16"/>
      <c r="F71" s="16">
        <v>1713.97</v>
      </c>
      <c r="G71" s="16">
        <v>1714</v>
      </c>
      <c r="H71" s="39">
        <v>1880.4</v>
      </c>
      <c r="I71" s="40"/>
      <c r="K71" s="7">
        <v>114130</v>
      </c>
      <c r="L71" s="7">
        <v>116695</v>
      </c>
      <c r="N71" s="7">
        <f t="shared" si="7"/>
        <v>200011729.15000001</v>
      </c>
      <c r="O71" s="7">
        <f t="shared" si="8"/>
        <v>200015230</v>
      </c>
      <c r="P71" s="41">
        <v>200000000</v>
      </c>
    </row>
    <row r="72" spans="1:16" ht="14" x14ac:dyDescent="0.15">
      <c r="A72" s="7" t="s">
        <v>88</v>
      </c>
      <c r="B72" s="31">
        <f t="shared" si="6"/>
        <v>109199882704.36</v>
      </c>
      <c r="C72" s="31">
        <f ca="1">IFERROR(__xludf.DUMMYFUNCTION("IFERROR(STDEV.S(FILTER(M72:O72, M72:O72&lt;&gt;"""")))"),203199.317505101)</f>
        <v>203199.317505101</v>
      </c>
      <c r="D72" s="49">
        <v>1.86080161E-6</v>
      </c>
      <c r="E72" s="16"/>
      <c r="F72" s="16">
        <v>6205.02</v>
      </c>
      <c r="G72" s="16">
        <v>6205</v>
      </c>
      <c r="H72" s="39">
        <v>6857.8</v>
      </c>
      <c r="I72" s="40"/>
      <c r="K72" s="7">
        <v>15681730</v>
      </c>
      <c r="L72" s="7">
        <v>17598654</v>
      </c>
      <c r="N72" s="7">
        <f t="shared" si="7"/>
        <v>109200000043.08</v>
      </c>
      <c r="O72" s="7">
        <f t="shared" si="8"/>
        <v>109199648070</v>
      </c>
      <c r="P72" s="41">
        <v>109200000000</v>
      </c>
    </row>
    <row r="73" spans="1:16" ht="14" x14ac:dyDescent="0.15">
      <c r="A73" s="7" t="s">
        <v>89</v>
      </c>
      <c r="B73" s="31">
        <f t="shared" si="6"/>
        <v>226001392777.73331</v>
      </c>
      <c r="C73" s="31">
        <f ca="1">IFERROR(__xludf.DUMMYFUNCTION("IFERROR(STDEV.S(FILTER(M73:O73, M73:O73&lt;&gt;"""")))"),2384194.40545984)</f>
        <v>2384194.4054598399</v>
      </c>
      <c r="D73" s="49">
        <v>1.054946775E-5</v>
      </c>
      <c r="E73" s="16"/>
      <c r="F73" s="16">
        <v>16483.7</v>
      </c>
      <c r="G73" s="16">
        <v>16484</v>
      </c>
      <c r="H73" s="39">
        <v>19143.599999999999</v>
      </c>
      <c r="I73" s="40"/>
      <c r="K73" s="7">
        <v>11472920</v>
      </c>
      <c r="L73" s="7">
        <v>13710516</v>
      </c>
      <c r="N73" s="7">
        <f t="shared" si="7"/>
        <v>226000032589.20001</v>
      </c>
      <c r="O73" s="7">
        <f t="shared" si="8"/>
        <v>226004145744</v>
      </c>
      <c r="P73" s="41">
        <v>226000000000</v>
      </c>
    </row>
    <row r="74" spans="1:16" ht="14" x14ac:dyDescent="0.15">
      <c r="A74" s="7" t="s">
        <v>90</v>
      </c>
      <c r="B74" s="31">
        <f t="shared" si="6"/>
        <v>16051562382.373331</v>
      </c>
      <c r="C74" s="31">
        <f ca="1">IFERROR(__xludf.DUMMYFUNCTION("IFERROR(STDEV.S(FILTER(M74:O74, M74:O74&lt;&gt;"""")))"),44655885.754112)</f>
        <v>44655885.754111998</v>
      </c>
      <c r="D74" s="49">
        <v>2.7820273620000001E-3</v>
      </c>
      <c r="E74" s="16"/>
      <c r="F74" s="16">
        <v>7771.36</v>
      </c>
      <c r="G74" s="16">
        <v>7771</v>
      </c>
      <c r="H74" s="39">
        <v>9271.4</v>
      </c>
      <c r="I74" s="40"/>
      <c r="K74" s="7">
        <v>1741120</v>
      </c>
      <c r="L74" s="7">
        <v>2068842</v>
      </c>
      <c r="N74" s="7">
        <f t="shared" si="7"/>
        <v>16077715965.119999</v>
      </c>
      <c r="O74" s="7">
        <f t="shared" si="8"/>
        <v>16076971182</v>
      </c>
      <c r="P74" s="41">
        <v>16000000000</v>
      </c>
    </row>
    <row r="75" spans="1:16" ht="14" x14ac:dyDescent="0.15">
      <c r="A75" s="7" t="s">
        <v>91</v>
      </c>
      <c r="B75" s="31">
        <f t="shared" si="6"/>
        <v>241000466712.33334</v>
      </c>
      <c r="C75" s="31">
        <f ca="1">IFERROR(__xludf.DUMMYFUNCTION("IFERROR(STDEV.S(FILTER(M75:O75, M75:O75&lt;&gt;"""")))"),416840.67427243)</f>
        <v>416840.67427243001</v>
      </c>
      <c r="D75" s="49">
        <v>1.729626004E-6</v>
      </c>
      <c r="E75" s="16"/>
      <c r="F75" s="16">
        <v>295530.75</v>
      </c>
      <c r="G75" s="16">
        <v>295531</v>
      </c>
      <c r="H75" s="39">
        <v>315695.8</v>
      </c>
      <c r="I75" s="40"/>
      <c r="K75" s="7">
        <v>754230</v>
      </c>
      <c r="L75" s="7">
        <v>815484</v>
      </c>
      <c r="N75" s="7">
        <f t="shared" si="7"/>
        <v>241000598133</v>
      </c>
      <c r="O75" s="7">
        <f t="shared" si="8"/>
        <v>241000802004</v>
      </c>
      <c r="P75" s="41">
        <v>241000000000</v>
      </c>
    </row>
    <row r="76" spans="1:16" ht="14" x14ac:dyDescent="0.15">
      <c r="A76" s="7" t="s">
        <v>92</v>
      </c>
      <c r="B76" s="31">
        <f t="shared" si="6"/>
        <v>13006497648.639999</v>
      </c>
      <c r="C76" s="31">
        <f ca="1">IFERROR(__xludf.DUMMYFUNCTION("IFERROR(STDEV.S(FILTER(M76:O76, M76:O76&lt;&gt;"""")))"),6279386.39599713)</f>
        <v>6279386.3959971303</v>
      </c>
      <c r="D76" s="49">
        <v>4.8278841589999999E-4</v>
      </c>
      <c r="E76" s="16"/>
      <c r="F76" s="16">
        <v>1143.51</v>
      </c>
      <c r="G76" s="16">
        <v>1144</v>
      </c>
      <c r="H76" s="39">
        <v>1230.5999999999999</v>
      </c>
      <c r="I76" s="40"/>
      <c r="K76" s="7">
        <v>10373240</v>
      </c>
      <c r="L76" s="7">
        <v>11374592</v>
      </c>
      <c r="N76" s="7">
        <f t="shared" si="7"/>
        <v>13006959697.92</v>
      </c>
      <c r="O76" s="7">
        <f t="shared" si="8"/>
        <v>13012533248</v>
      </c>
      <c r="P76" s="41">
        <v>13000000000</v>
      </c>
    </row>
    <row r="77" spans="1:16" ht="14" x14ac:dyDescent="0.15">
      <c r="A77" s="7" t="s">
        <v>93</v>
      </c>
      <c r="B77" s="31">
        <f t="shared" si="6"/>
        <v>90674728217.066666</v>
      </c>
      <c r="C77" s="31">
        <f ca="1">IFERROR(__xludf.DUMMYFUNCTION("IFERROR(STDEV.S(FILTER(M77:O77, M77:O77&lt;&gt;"""")))"),21982550.4965877)</f>
        <v>21982550.496587701</v>
      </c>
      <c r="D77" s="49">
        <v>2.4243304530000001E-4</v>
      </c>
      <c r="E77" s="16"/>
      <c r="F77" s="16">
        <v>8810.6</v>
      </c>
      <c r="G77" s="16">
        <v>8811</v>
      </c>
      <c r="H77" s="39">
        <v>10291.5</v>
      </c>
      <c r="I77" s="40"/>
      <c r="K77" s="7">
        <v>9063120</v>
      </c>
      <c r="L77" s="7">
        <v>10289882</v>
      </c>
      <c r="N77" s="7">
        <f t="shared" si="7"/>
        <v>90660034349.199997</v>
      </c>
      <c r="O77" s="7">
        <f t="shared" si="8"/>
        <v>90664150302</v>
      </c>
      <c r="P77" s="41">
        <v>90700000000</v>
      </c>
    </row>
    <row r="78" spans="1:16" ht="14" x14ac:dyDescent="0.15">
      <c r="A78" s="7" t="s">
        <v>94</v>
      </c>
      <c r="B78" s="31">
        <f t="shared" si="6"/>
        <v>5999406859.5466661</v>
      </c>
      <c r="C78" s="31">
        <f ca="1">IFERROR(__xludf.DUMMYFUNCTION("IFERROR(STDEV.S(FILTER(M78:O78, M78:O78&lt;&gt;"""")))"),615880.289670798)</f>
        <v>615880.289670798</v>
      </c>
      <c r="D78" s="49">
        <v>1.026568633E-4</v>
      </c>
      <c r="E78" s="7"/>
      <c r="F78" s="7">
        <v>617.92999999999995</v>
      </c>
      <c r="G78" s="7">
        <v>618</v>
      </c>
      <c r="H78" s="38">
        <v>608.1</v>
      </c>
      <c r="I78" s="40"/>
      <c r="K78" s="7">
        <v>9866470</v>
      </c>
      <c r="L78" s="7">
        <v>9707848</v>
      </c>
      <c r="N78" s="7">
        <f t="shared" si="7"/>
        <v>5998770514.6399994</v>
      </c>
      <c r="O78" s="7">
        <f t="shared" si="8"/>
        <v>5999450064</v>
      </c>
      <c r="P78" s="41">
        <v>6000000000</v>
      </c>
    </row>
    <row r="79" spans="1:16" ht="14" x14ac:dyDescent="0.15">
      <c r="A79" s="7" t="s">
        <v>95</v>
      </c>
      <c r="B79" s="31">
        <f t="shared" si="6"/>
        <v>170039204766.22</v>
      </c>
      <c r="C79" s="31">
        <f ca="1">IFERROR(__xludf.DUMMYFUNCTION("IFERROR(STDEV.S(FILTER(M79:O79, M79:O79&lt;&gt;"""")))"),33952382.5973719)</f>
        <v>33952382.597371899</v>
      </c>
      <c r="D79" s="49">
        <v>1.9967384960000001E-4</v>
      </c>
      <c r="E79" s="16"/>
      <c r="F79" s="16">
        <v>456351.34</v>
      </c>
      <c r="G79" s="16">
        <v>456351</v>
      </c>
      <c r="H79" s="39">
        <v>519264.7</v>
      </c>
      <c r="I79" s="40"/>
      <c r="K79" s="7">
        <v>327390</v>
      </c>
      <c r="L79" s="7">
        <v>372649</v>
      </c>
      <c r="N79" s="7">
        <f t="shared" si="7"/>
        <v>170058870499.66</v>
      </c>
      <c r="O79" s="7">
        <f t="shared" si="8"/>
        <v>170058743799</v>
      </c>
      <c r="P79" s="41">
        <v>170000000000</v>
      </c>
    </row>
    <row r="80" spans="1:16" ht="14" x14ac:dyDescent="0.15">
      <c r="A80" s="7" t="s">
        <v>96</v>
      </c>
      <c r="B80" s="31">
        <f t="shared" si="6"/>
        <v>1430437188994.24</v>
      </c>
      <c r="C80" s="31">
        <f ca="1">IFERROR(__xludf.DUMMYFUNCTION("IFERROR(STDEV.S(FILTER(M80:O80, M80:O80&lt;&gt;"""")))"),26361563948.8129)</f>
        <v>26361563948.812901</v>
      </c>
      <c r="D80" s="49">
        <v>1.842902586E-2</v>
      </c>
      <c r="E80" s="16"/>
      <c r="F80" s="16">
        <v>1022.48</v>
      </c>
      <c r="G80" s="16">
        <v>1022</v>
      </c>
      <c r="H80" s="39">
        <v>1117.5999999999999</v>
      </c>
      <c r="I80" s="40"/>
      <c r="K80" s="7">
        <v>1312177190</v>
      </c>
      <c r="L80" s="7">
        <v>1414203889</v>
      </c>
      <c r="N80" s="7">
        <f t="shared" si="7"/>
        <v>1445995192424.72</v>
      </c>
      <c r="O80" s="7">
        <f t="shared" si="8"/>
        <v>1445316374558</v>
      </c>
      <c r="P80" s="41">
        <v>1400000000000</v>
      </c>
    </row>
    <row r="81" spans="1:16" ht="14" x14ac:dyDescent="0.15">
      <c r="A81" s="7" t="s">
        <v>97</v>
      </c>
      <c r="B81" s="31">
        <f t="shared" si="6"/>
        <v>2012458065577.8665</v>
      </c>
      <c r="C81" s="31">
        <f ca="1">IFERROR(__xludf.DUMMYFUNCTION("IFERROR(STDEV.S(FILTER(M81:O81, M81:O81&lt;&gt;"""")))"),10789010146.6434)</f>
        <v>10789010146.6434</v>
      </c>
      <c r="D81" s="49">
        <v>5.3611105400000001E-3</v>
      </c>
      <c r="E81" s="16"/>
      <c r="F81" s="16">
        <v>7294.1</v>
      </c>
      <c r="G81" s="16">
        <v>7294</v>
      </c>
      <c r="H81" s="39">
        <v>7913.6</v>
      </c>
      <c r="I81" s="40"/>
      <c r="K81" s="7">
        <v>258877400</v>
      </c>
      <c r="L81" s="7">
        <v>276758056</v>
      </c>
      <c r="N81" s="7">
        <f t="shared" si="7"/>
        <v>2018700936269.6001</v>
      </c>
      <c r="O81" s="7">
        <f t="shared" si="8"/>
        <v>2018673260464</v>
      </c>
      <c r="P81" s="41">
        <v>2000000000000</v>
      </c>
    </row>
    <row r="82" spans="1:16" ht="14" x14ac:dyDescent="0.15">
      <c r="A82" s="7" t="s">
        <v>98</v>
      </c>
      <c r="B82" s="31">
        <f t="shared" si="6"/>
        <v>128508668251.20332</v>
      </c>
      <c r="C82" s="31">
        <f ca="1">IFERROR(__xludf.DUMMYFUNCTION("IFERROR(STDEV.S(FILTER(M82:O82, M82:O82&lt;&gt;"""")))"),14861406.2318925)</f>
        <v>14861406.2318925</v>
      </c>
      <c r="D82" s="49">
        <v>1.1564516569999999E-4</v>
      </c>
      <c r="E82" s="16"/>
      <c r="F82" s="16">
        <v>1452.71</v>
      </c>
      <c r="G82" s="16">
        <v>1453</v>
      </c>
      <c r="H82" s="39">
        <v>1638.8</v>
      </c>
      <c r="I82" s="40"/>
      <c r="K82" s="7">
        <v>81502040</v>
      </c>
      <c r="L82" s="7">
        <v>88455491</v>
      </c>
      <c r="N82" s="7">
        <f t="shared" si="7"/>
        <v>128500176330.61</v>
      </c>
      <c r="O82" s="7">
        <f t="shared" si="8"/>
        <v>128525828423</v>
      </c>
      <c r="P82" s="41">
        <v>128500000000</v>
      </c>
    </row>
    <row r="83" spans="1:16" ht="14" x14ac:dyDescent="0.15">
      <c r="A83" s="7" t="s">
        <v>99</v>
      </c>
      <c r="B83" s="31">
        <f t="shared" si="6"/>
        <v>35196374980.833336</v>
      </c>
      <c r="C83" s="31">
        <f ca="1">IFERROR(__xludf.DUMMYFUNCTION("IFERROR(STDEV.S(FILTER(M83:O83, M83:O83&lt;&gt;"""")))"),6232332.27923304)</f>
        <v>6232332.2792330403</v>
      </c>
      <c r="D83" s="49">
        <v>1.7707312989999999E-4</v>
      </c>
      <c r="E83" s="7"/>
      <c r="F83" s="7">
        <v>817.25</v>
      </c>
      <c r="G83" s="7">
        <v>817</v>
      </c>
      <c r="H83" s="39">
        <v>1005.5</v>
      </c>
      <c r="I83" s="40"/>
      <c r="K83" s="7">
        <v>36550060</v>
      </c>
      <c r="L83" s="7">
        <v>43071210</v>
      </c>
      <c r="N83" s="7">
        <f t="shared" si="7"/>
        <v>35199946372.5</v>
      </c>
      <c r="O83" s="7">
        <f t="shared" si="8"/>
        <v>35189178570</v>
      </c>
      <c r="P83" s="41">
        <v>35200000000</v>
      </c>
    </row>
    <row r="84" spans="1:16" ht="14" x14ac:dyDescent="0.15">
      <c r="A84" s="7" t="s">
        <v>100</v>
      </c>
      <c r="B84" s="31">
        <f t="shared" si="6"/>
        <v>48968564774.966667</v>
      </c>
      <c r="C84" s="31">
        <f ca="1">IFERROR(__xludf.DUMMYFUNCTION("IFERROR(STDEV.S(FILTER(M84:O84, M84:O84&lt;&gt;"""")))"),27245161.6585735)</f>
        <v>27245161.658573501</v>
      </c>
      <c r="D84" s="49">
        <v>5.5638064509999998E-4</v>
      </c>
      <c r="E84" s="16"/>
      <c r="F84" s="16">
        <v>9735.43</v>
      </c>
      <c r="G84" s="16">
        <v>9735</v>
      </c>
      <c r="H84" s="39">
        <v>10520.1</v>
      </c>
      <c r="I84" s="42">
        <v>54834</v>
      </c>
      <c r="K84" s="7">
        <v>4657740</v>
      </c>
      <c r="L84" s="7">
        <v>5028430</v>
      </c>
      <c r="N84" s="7">
        <f t="shared" si="7"/>
        <v>48953928274.900002</v>
      </c>
      <c r="O84" s="7">
        <f t="shared" si="8"/>
        <v>48951766050</v>
      </c>
      <c r="P84" s="41">
        <v>49000000000</v>
      </c>
    </row>
    <row r="85" spans="1:16" ht="14" x14ac:dyDescent="0.15">
      <c r="A85" s="7" t="s">
        <v>101</v>
      </c>
      <c r="B85" s="31">
        <f t="shared" si="6"/>
        <v>727045429.25</v>
      </c>
      <c r="C85" s="31">
        <f ca="1">IFERROR(__xludf.DUMMYFUNCTION("IFERROR(STDEV.S(FILTER(M85:O85, M85:O85&lt;&gt;"""")))"),19879693.9945454)</f>
        <v>19879693.9945454</v>
      </c>
      <c r="D85" s="49">
        <v>2.734312492E-2</v>
      </c>
      <c r="E85" s="7"/>
      <c r="F85" s="7">
        <v>80.03</v>
      </c>
      <c r="G85" s="7">
        <v>80</v>
      </c>
      <c r="H85" s="38">
        <v>91.3</v>
      </c>
      <c r="I85" s="40"/>
      <c r="K85" s="7">
        <v>8215700</v>
      </c>
      <c r="L85" s="7">
        <v>8942925</v>
      </c>
      <c r="N85" s="7">
        <f t="shared" si="7"/>
        <v>715702287.75</v>
      </c>
      <c r="O85" s="7">
        <f t="shared" si="8"/>
        <v>715434000</v>
      </c>
      <c r="P85" s="41">
        <v>750000000</v>
      </c>
    </row>
    <row r="86" spans="1:16" ht="14" x14ac:dyDescent="0.15">
      <c r="A86" s="7" t="s">
        <v>102</v>
      </c>
      <c r="B86" s="31">
        <f t="shared" si="6"/>
        <v>183721501742.16666</v>
      </c>
      <c r="C86" s="31">
        <f ca="1">IFERROR(__xludf.DUMMYFUNCTION("IFERROR(STDEV.S(FILTER(M86:O86, M86:O86&lt;&gt;"""")))"),1057877886.74799)</f>
        <v>1057877886.74799</v>
      </c>
      <c r="D86" s="49">
        <v>5.7580515980000004E-3</v>
      </c>
      <c r="E86" s="16"/>
      <c r="F86" s="16">
        <v>3086.25</v>
      </c>
      <c r="G86" s="16">
        <v>3086</v>
      </c>
      <c r="H86" s="39">
        <v>3002.2</v>
      </c>
      <c r="I86" s="40"/>
      <c r="K86" s="7">
        <v>60789140</v>
      </c>
      <c r="L86" s="7">
        <v>59729354</v>
      </c>
      <c r="N86" s="7">
        <f t="shared" si="7"/>
        <v>184339718782.5</v>
      </c>
      <c r="O86" s="7">
        <f t="shared" si="8"/>
        <v>184324786444</v>
      </c>
      <c r="P86" s="41">
        <v>182500000000</v>
      </c>
    </row>
    <row r="87" spans="1:16" ht="14" x14ac:dyDescent="0.15">
      <c r="A87" s="7" t="s">
        <v>103</v>
      </c>
      <c r="B87" s="31">
        <f t="shared" si="6"/>
        <v>10815307808.82</v>
      </c>
      <c r="C87" s="31">
        <f ca="1">IFERROR(__xludf.DUMMYFUNCTION("IFERROR(STDEV.S(FILTER(M87:O87, M87:O87&lt;&gt;"""")))"),13257019.6481354)</f>
        <v>13257019.648135399</v>
      </c>
      <c r="D87" s="49">
        <v>1.2257644330000001E-3</v>
      </c>
      <c r="E87" s="16"/>
      <c r="F87" s="16">
        <v>3814.03</v>
      </c>
      <c r="G87" s="16">
        <v>3814</v>
      </c>
      <c r="H87" s="39">
        <v>3780.5</v>
      </c>
      <c r="I87" s="40"/>
      <c r="K87" s="7">
        <v>2793750</v>
      </c>
      <c r="L87" s="7">
        <v>2837682</v>
      </c>
      <c r="N87" s="7">
        <f t="shared" si="7"/>
        <v>10823004278.460001</v>
      </c>
      <c r="O87" s="7">
        <f t="shared" si="8"/>
        <v>10822919148</v>
      </c>
      <c r="P87" s="41">
        <v>10800000000</v>
      </c>
    </row>
    <row r="88" spans="1:16" ht="14" x14ac:dyDescent="0.15">
      <c r="A88" s="7" t="s">
        <v>104</v>
      </c>
      <c r="B88" s="31">
        <f t="shared" si="6"/>
        <v>429980260699.31329</v>
      </c>
      <c r="C88" s="31">
        <f ca="1">IFERROR(__xludf.DUMMYFUNCTION("IFERROR(STDEV.S(FILTER(M88:O88, M88:O88&lt;&gt;"""")))"),27362640.0388462)</f>
        <v>27362640.038846198</v>
      </c>
      <c r="D88" s="49">
        <v>6.3636967879999995E-5</v>
      </c>
      <c r="E88" s="16"/>
      <c r="F88" s="16">
        <v>3421.34</v>
      </c>
      <c r="G88" s="16">
        <v>3421</v>
      </c>
      <c r="H88" s="39">
        <v>3378.5</v>
      </c>
      <c r="I88" s="40"/>
      <c r="K88" s="7">
        <v>127276000</v>
      </c>
      <c r="L88" s="7">
        <v>125679341</v>
      </c>
      <c r="N88" s="7">
        <f t="shared" si="7"/>
        <v>429991756536.94</v>
      </c>
      <c r="O88" s="7">
        <f t="shared" si="8"/>
        <v>429949025561</v>
      </c>
      <c r="P88" s="41">
        <v>430000000000</v>
      </c>
    </row>
    <row r="89" spans="1:16" ht="14" x14ac:dyDescent="0.15">
      <c r="A89" s="7" t="s">
        <v>105</v>
      </c>
      <c r="B89" s="31">
        <f t="shared" si="6"/>
        <v>683377946.51333332</v>
      </c>
      <c r="C89" s="31">
        <f ca="1">IFERROR(__xludf.DUMMYFUNCTION("IFERROR(STDEV.S(FILTER(M89:O89, M89:O89&lt;&gt;"""")))"),2369681.92108741)</f>
        <v>2369681.9210874098</v>
      </c>
      <c r="D89" s="49">
        <v>3.4676008100000002E-3</v>
      </c>
      <c r="E89" s="7"/>
      <c r="F89" s="7">
        <v>61.63</v>
      </c>
      <c r="G89" s="7">
        <v>62</v>
      </c>
      <c r="H89" s="38">
        <v>77.400000000000006</v>
      </c>
      <c r="I89" s="40"/>
      <c r="K89" s="7">
        <v>8791710</v>
      </c>
      <c r="L89" s="7">
        <v>11066358</v>
      </c>
      <c r="N89" s="7">
        <f t="shared" si="7"/>
        <v>682019643.54000008</v>
      </c>
      <c r="O89" s="7">
        <f t="shared" si="8"/>
        <v>686114196</v>
      </c>
      <c r="P89" s="41">
        <v>682000000</v>
      </c>
    </row>
    <row r="90" spans="1:16" ht="14" x14ac:dyDescent="0.15">
      <c r="A90" s="7" t="s">
        <v>106</v>
      </c>
      <c r="B90" s="31">
        <f t="shared" si="6"/>
        <v>64331452878.653343</v>
      </c>
      <c r="C90" s="31">
        <f ca="1">IFERROR(__xludf.DUMMYFUNCTION("IFERROR(STDEV.S(FILTER(M90:O90, M90:O90&lt;&gt;"""")))"),27378877.9541194)</f>
        <v>27378877.954119399</v>
      </c>
      <c r="D90" s="49">
        <v>4.2559085379999999E-4</v>
      </c>
      <c r="E90" s="35"/>
      <c r="F90" s="35">
        <v>3259.28</v>
      </c>
      <c r="G90" s="35">
        <v>3259</v>
      </c>
      <c r="H90" s="39">
        <v>3722.2</v>
      </c>
      <c r="I90" s="40"/>
      <c r="K90" s="7">
        <v>17816280</v>
      </c>
      <c r="L90" s="7">
        <v>19743607</v>
      </c>
      <c r="N90" s="7">
        <f t="shared" si="7"/>
        <v>64349943422.960007</v>
      </c>
      <c r="O90" s="7">
        <f t="shared" si="8"/>
        <v>64344415213</v>
      </c>
      <c r="P90" s="41">
        <v>64300000000</v>
      </c>
    </row>
    <row r="91" spans="1:16" ht="14" x14ac:dyDescent="0.15">
      <c r="A91" s="7" t="s">
        <v>107</v>
      </c>
      <c r="B91" s="31">
        <f t="shared" si="6"/>
        <v>20700793867.799999</v>
      </c>
      <c r="C91" s="31">
        <f ca="1">IFERROR(__xludf.DUMMYFUNCTION("IFERROR(STDEV.S(FILTER(M91:O91, M91:O91&lt;&gt;"""")))"),1267115.37447436)</f>
        <v>1267115.3744743599</v>
      </c>
      <c r="D91" s="49">
        <v>6.1210955610000004E-5</v>
      </c>
      <c r="E91" s="7"/>
      <c r="F91" s="7">
        <v>388.96</v>
      </c>
      <c r="G91" s="7">
        <v>389</v>
      </c>
      <c r="H91" s="38">
        <v>449.8</v>
      </c>
      <c r="I91" s="40"/>
      <c r="K91" s="7">
        <v>46051440</v>
      </c>
      <c r="L91" s="7">
        <v>53219165</v>
      </c>
      <c r="N91" s="7">
        <f t="shared" si="7"/>
        <v>20700126418.399998</v>
      </c>
      <c r="O91" s="7">
        <f t="shared" si="8"/>
        <v>20702255185</v>
      </c>
      <c r="P91" s="41">
        <v>20700000000</v>
      </c>
    </row>
    <row r="92" spans="1:16" ht="14" x14ac:dyDescent="0.15">
      <c r="A92" s="7" t="s">
        <v>110</v>
      </c>
      <c r="B92" s="31">
        <f t="shared" si="6"/>
        <v>0</v>
      </c>
      <c r="C92" s="31">
        <f ca="1">IFERROR(__xludf.DUMMYFUNCTION("IFERROR(STDEV.S(FILTER(M92:O92, M92:O92&lt;&gt;"""")))"),0)</f>
        <v>0</v>
      </c>
      <c r="D92" s="49" t="s">
        <v>277</v>
      </c>
      <c r="E92" s="7"/>
      <c r="F92" s="7">
        <v>0</v>
      </c>
      <c r="G92" s="7">
        <v>0</v>
      </c>
      <c r="H92" s="38">
        <v>0</v>
      </c>
      <c r="I92" s="40"/>
      <c r="K92" s="7">
        <v>3665880</v>
      </c>
      <c r="L92" s="7">
        <v>4360749</v>
      </c>
      <c r="N92" s="7">
        <f t="shared" si="7"/>
        <v>0</v>
      </c>
      <c r="O92" s="7">
        <f t="shared" si="8"/>
        <v>0</v>
      </c>
    </row>
    <row r="93" spans="1:16" ht="14" x14ac:dyDescent="0.15">
      <c r="A93" s="7" t="s">
        <v>111</v>
      </c>
      <c r="B93" s="31">
        <f t="shared" si="6"/>
        <v>48774115623.523338</v>
      </c>
      <c r="C93" s="31">
        <f ca="1">IFERROR(__xludf.DUMMYFUNCTION("IFERROR(STDEV.S(FILTER(M93:O93, M93:O93&lt;&gt;"""")))"),109021420.154643)</f>
        <v>109021420.154643</v>
      </c>
      <c r="D93" s="49">
        <v>2.2352311009999999E-3</v>
      </c>
      <c r="E93" s="16"/>
      <c r="F93" s="16">
        <v>7141.79</v>
      </c>
      <c r="G93" s="16">
        <v>7142</v>
      </c>
      <c r="H93" s="39">
        <v>8384.9</v>
      </c>
      <c r="I93" s="40"/>
      <c r="K93" s="7">
        <v>5905850</v>
      </c>
      <c r="L93" s="7">
        <v>6820483</v>
      </c>
      <c r="N93" s="7">
        <f t="shared" si="7"/>
        <v>48710457284.57</v>
      </c>
      <c r="O93" s="7">
        <f t="shared" si="8"/>
        <v>48711889586</v>
      </c>
      <c r="P93" s="41">
        <v>48900000000</v>
      </c>
    </row>
    <row r="94" spans="1:16" ht="14" x14ac:dyDescent="0.15">
      <c r="A94" s="7" t="s">
        <v>112</v>
      </c>
      <c r="B94" s="31">
        <f t="shared" si="6"/>
        <v>190398534481.36667</v>
      </c>
      <c r="C94" s="31">
        <f ca="1">IFERROR(__xludf.DUMMYFUNCTION("IFERROR(STDEV.S(FILTER(M94:O94, M94:O94&lt;&gt;"""")))"),1322755.14744211)</f>
        <v>1322755.1474421101</v>
      </c>
      <c r="D94" s="49">
        <v>6.9472968949999998E-6</v>
      </c>
      <c r="E94" s="16"/>
      <c r="F94" s="16">
        <v>25546.1</v>
      </c>
      <c r="G94" s="16">
        <v>25546</v>
      </c>
      <c r="H94" s="39">
        <v>28952</v>
      </c>
      <c r="I94" s="40"/>
      <c r="K94" s="7">
        <v>6703170</v>
      </c>
      <c r="L94" s="7">
        <v>7453121</v>
      </c>
      <c r="N94" s="7">
        <f t="shared" si="7"/>
        <v>190398174378.09998</v>
      </c>
      <c r="O94" s="7">
        <f t="shared" si="8"/>
        <v>190397429066</v>
      </c>
      <c r="P94" s="41">
        <v>190400000000</v>
      </c>
    </row>
    <row r="95" spans="1:16" ht="14" x14ac:dyDescent="0.15">
      <c r="A95" s="7" t="s">
        <v>113</v>
      </c>
      <c r="B95" s="31">
        <f t="shared" si="6"/>
        <v>16933164508.879999</v>
      </c>
      <c r="C95" s="31">
        <f ca="1">IFERROR(__xludf.DUMMYFUNCTION("IFERROR(STDEV.S(FILTER(M95:O95, M95:O95&lt;&gt;"""")))"),28721754.3878655)</f>
        <v>28721754.387865499</v>
      </c>
      <c r="D95" s="49">
        <v>1.6961835089999999E-3</v>
      </c>
      <c r="E95" s="16"/>
      <c r="F95" s="16">
        <v>8989.17</v>
      </c>
      <c r="G95" s="16">
        <v>8989</v>
      </c>
      <c r="H95" s="39">
        <v>8496.4</v>
      </c>
      <c r="I95" s="42">
        <v>36639</v>
      </c>
      <c r="K95" s="7">
        <v>1993780</v>
      </c>
      <c r="L95" s="7">
        <v>1885592</v>
      </c>
      <c r="N95" s="7">
        <f t="shared" si="7"/>
        <v>16949907038.639999</v>
      </c>
      <c r="O95" s="7">
        <f t="shared" si="8"/>
        <v>16949586488</v>
      </c>
      <c r="P95" s="41">
        <v>16900000000</v>
      </c>
    </row>
    <row r="96" spans="1:16" ht="14" x14ac:dyDescent="0.15">
      <c r="A96" s="7" t="s">
        <v>114</v>
      </c>
      <c r="B96" s="31">
        <f t="shared" si="6"/>
        <v>4799177693.96</v>
      </c>
      <c r="C96" s="31">
        <f ca="1">IFERROR(__xludf.DUMMYFUNCTION("IFERROR(STDEV.S(FILTER(M96:O96, M96:O96&lt;&gt;"""")))"),1445570.50148074)</f>
        <v>1445570.50148074</v>
      </c>
      <c r="D96" s="49">
        <v>3.0121212289999999E-4</v>
      </c>
      <c r="E96" s="7"/>
      <c r="F96" s="7">
        <v>839.44</v>
      </c>
      <c r="G96" s="7">
        <v>839</v>
      </c>
      <c r="H96" s="38">
        <v>856.6</v>
      </c>
      <c r="I96" s="40"/>
      <c r="K96" s="7">
        <v>6346990</v>
      </c>
      <c r="L96" s="7">
        <v>5718127</v>
      </c>
      <c r="N96" s="7">
        <f t="shared" si="7"/>
        <v>4800024528.8800001</v>
      </c>
      <c r="O96" s="7">
        <f t="shared" si="8"/>
        <v>4797508553</v>
      </c>
      <c r="P96" s="41">
        <v>4800000000</v>
      </c>
    </row>
    <row r="97" spans="1:16" ht="14" x14ac:dyDescent="0.15">
      <c r="A97" s="7" t="s">
        <v>115</v>
      </c>
      <c r="B97" s="31">
        <f t="shared" si="6"/>
        <v>5220325274.4733334</v>
      </c>
      <c r="C97" s="31">
        <f ca="1">IFERROR(__xludf.DUMMYFUNCTION("IFERROR(STDEV.S(FILTER(M97:O97, M97:O97&lt;&gt;"""")))"),17608609.8498244)</f>
        <v>17608609.849824399</v>
      </c>
      <c r="D97" s="49">
        <v>3.3730867190000001E-3</v>
      </c>
      <c r="E97" s="16"/>
      <c r="F97" s="16">
        <v>2312.58</v>
      </c>
      <c r="G97" s="16">
        <v>2313</v>
      </c>
      <c r="H97" s="39">
        <v>2437.3000000000002</v>
      </c>
      <c r="I97" s="40"/>
      <c r="K97" s="7">
        <v>2080090</v>
      </c>
      <c r="L97" s="7">
        <v>2261549</v>
      </c>
      <c r="N97" s="7">
        <f t="shared" si="7"/>
        <v>5230012986.4200001</v>
      </c>
      <c r="O97" s="7">
        <f t="shared" si="8"/>
        <v>5230962837</v>
      </c>
      <c r="P97" s="41">
        <v>5200000000</v>
      </c>
    </row>
    <row r="98" spans="1:16" ht="14" x14ac:dyDescent="0.15">
      <c r="A98" s="7" t="s">
        <v>116</v>
      </c>
      <c r="B98" s="31">
        <f t="shared" si="6"/>
        <v>200000591017.15332</v>
      </c>
      <c r="C98" s="31">
        <f ca="1">IFERROR(__xludf.DUMMYFUNCTION("IFERROR(STDEV.S(FILTER(M98:O98, M98:O98&lt;&gt;"""")))"),918443.345485414)</f>
        <v>918443.34548541403</v>
      </c>
      <c r="D98" s="49">
        <v>4.5922031570000002E-6</v>
      </c>
      <c r="E98" s="16"/>
      <c r="F98" s="16">
        <v>38027.71</v>
      </c>
      <c r="G98" s="16">
        <v>38028</v>
      </c>
      <c r="H98" s="39">
        <v>45550.400000000001</v>
      </c>
      <c r="I98" s="40"/>
      <c r="K98" s="7">
        <v>4564290</v>
      </c>
      <c r="L98" s="7">
        <v>5259326</v>
      </c>
      <c r="N98" s="7">
        <f t="shared" si="7"/>
        <v>200000123923.45999</v>
      </c>
      <c r="O98" s="7">
        <f t="shared" si="8"/>
        <v>200001649128</v>
      </c>
      <c r="P98" s="41">
        <v>200000000000</v>
      </c>
    </row>
    <row r="99" spans="1:16" ht="14" x14ac:dyDescent="0.15">
      <c r="A99" s="7" t="s">
        <v>117</v>
      </c>
      <c r="B99" s="31">
        <f t="shared" ref="B99:B130" si="9">IF(COUNTA(N99:P99) = 0, "", IFERROR(AVERAGEIF(N99:P99, "&lt;&gt;"), ""))</f>
        <v>699760049.93333328</v>
      </c>
      <c r="C99" s="31">
        <f ca="1">IFERROR(__xludf.DUMMYFUNCTION("IFERROR(STDEV.S(FILTER(M99:O99, M99:O99&lt;&gt;"""")))"),444057.627575529)</f>
        <v>444057.62757552898</v>
      </c>
      <c r="D99" s="49">
        <v>6.3458556629999996E-4</v>
      </c>
      <c r="E99" s="7"/>
      <c r="F99" s="7">
        <v>98.11</v>
      </c>
      <c r="G99" s="7">
        <v>98</v>
      </c>
      <c r="H99" s="38">
        <v>112.8</v>
      </c>
      <c r="I99" s="40"/>
      <c r="K99" s="7">
        <v>6427250</v>
      </c>
      <c r="L99" s="7">
        <v>7135180</v>
      </c>
      <c r="N99" s="7">
        <f t="shared" ref="N99:N130" si="10">IF(OR(ISBLANK(F99), ISBLANK(L99)), "", F99 * L99)</f>
        <v>700032509.79999995</v>
      </c>
      <c r="O99" s="7">
        <f t="shared" ref="O99:O130" si="11">IF(OR(ISBLANK(G99), ISBLANK(L99)), "", G99 * L99)</f>
        <v>699247640</v>
      </c>
      <c r="P99" s="41">
        <v>700000000</v>
      </c>
    </row>
    <row r="100" spans="1:16" ht="14" x14ac:dyDescent="0.15">
      <c r="A100" s="7" t="s">
        <v>118</v>
      </c>
      <c r="B100" s="31">
        <f t="shared" si="9"/>
        <v>15450171942.51</v>
      </c>
      <c r="C100" s="31">
        <f ca="1">IFERROR(__xludf.DUMMYFUNCTION("IFERROR(STDEV.S(FILTER(M100:O100, M100:O100&lt;&gt;"""")))"),43153560.2375639)</f>
        <v>43153560.237563901</v>
      </c>
      <c r="D100" s="49">
        <v>2.7930796110000001E-3</v>
      </c>
      <c r="E100" s="16"/>
      <c r="F100" s="16">
        <v>5519.77</v>
      </c>
      <c r="G100" s="16">
        <v>5520</v>
      </c>
      <c r="H100" s="39">
        <v>5272.2</v>
      </c>
      <c r="I100" s="42">
        <v>22539</v>
      </c>
      <c r="K100" s="7">
        <v>2932370</v>
      </c>
      <c r="L100" s="7">
        <v>2794489</v>
      </c>
      <c r="N100" s="7">
        <f t="shared" si="10"/>
        <v>15424936547.530001</v>
      </c>
      <c r="O100" s="7">
        <f t="shared" si="11"/>
        <v>15425579280</v>
      </c>
      <c r="P100" s="41">
        <v>15500000000</v>
      </c>
    </row>
    <row r="101" spans="1:16" ht="14" x14ac:dyDescent="0.15">
      <c r="A101" s="7" t="s">
        <v>119</v>
      </c>
      <c r="B101" s="31">
        <f t="shared" si="9"/>
        <v>1000146639.2800001</v>
      </c>
      <c r="C101" s="31">
        <f ca="1">IFERROR(__xludf.DUMMYFUNCTION("IFERROR(STDEV.S(FILTER(M101:O101, M101:O101&lt;&gt;"""")))"),167257.169719744)</f>
        <v>167257.16971974401</v>
      </c>
      <c r="D101" s="49">
        <v>1.6723264679999999E-4</v>
      </c>
      <c r="E101" s="16"/>
      <c r="F101" s="16">
        <v>1562.34</v>
      </c>
      <c r="G101" s="16">
        <v>1562</v>
      </c>
      <c r="H101" s="39">
        <v>1797.5</v>
      </c>
      <c r="I101" s="42">
        <v>1644</v>
      </c>
      <c r="K101" s="7">
        <v>556320</v>
      </c>
      <c r="L101" s="7">
        <v>640276</v>
      </c>
      <c r="N101" s="7">
        <f t="shared" si="10"/>
        <v>1000328805.8399999</v>
      </c>
      <c r="O101" s="7">
        <f t="shared" si="11"/>
        <v>1000111112</v>
      </c>
      <c r="P101" s="41">
        <v>1000000000</v>
      </c>
    </row>
    <row r="102" spans="1:16" ht="14" x14ac:dyDescent="0.15">
      <c r="A102" s="7" t="s">
        <v>121</v>
      </c>
      <c r="B102" s="31">
        <f t="shared" si="9"/>
        <v>336997970009.42334</v>
      </c>
      <c r="C102" s="31">
        <f ca="1">IFERROR(__xludf.DUMMYFUNCTION("IFERROR(STDEV.S(FILTER(M102:O102, M102:O102&lt;&gt;"""")))"),3579085.41974075)</f>
        <v>3579085.41974075</v>
      </c>
      <c r="D102" s="49">
        <v>1.0620495490000001E-5</v>
      </c>
      <c r="E102" s="16"/>
      <c r="F102" s="16">
        <v>11350.21</v>
      </c>
      <c r="G102" s="16">
        <v>11350</v>
      </c>
      <c r="H102" s="39">
        <v>14285.8</v>
      </c>
      <c r="I102" s="40"/>
      <c r="K102" s="7">
        <v>24764350</v>
      </c>
      <c r="L102" s="7">
        <v>29691087</v>
      </c>
      <c r="N102" s="7">
        <f t="shared" si="10"/>
        <v>337000072578.26996</v>
      </c>
      <c r="O102" s="7">
        <f t="shared" si="11"/>
        <v>336993837450</v>
      </c>
      <c r="P102" s="41">
        <v>337000000000</v>
      </c>
    </row>
    <row r="103" spans="1:16" ht="14" x14ac:dyDescent="0.15">
      <c r="A103" s="7" t="s">
        <v>122</v>
      </c>
      <c r="B103" s="31">
        <f t="shared" si="9"/>
        <v>16126032718.766668</v>
      </c>
      <c r="C103" s="31">
        <f ca="1">IFERROR(__xludf.DUMMYFUNCTION("IFERROR(STDEV.S(FILTER(M103:O103, M103:O103&lt;&gt;"""")))"),22567267.5943012)</f>
        <v>22567267.594301201</v>
      </c>
      <c r="D103" s="49">
        <v>1.399430845E-3</v>
      </c>
      <c r="E103" s="7"/>
      <c r="F103" s="7">
        <v>805.1</v>
      </c>
      <c r="G103" s="7">
        <v>805</v>
      </c>
      <c r="H103" s="38">
        <v>945.6</v>
      </c>
      <c r="I103" s="40"/>
      <c r="K103" s="7">
        <v>16621540</v>
      </c>
      <c r="L103" s="7">
        <v>20047263</v>
      </c>
      <c r="N103" s="7">
        <f t="shared" si="10"/>
        <v>16140051441.300001</v>
      </c>
      <c r="O103" s="7">
        <f t="shared" si="11"/>
        <v>16138046715</v>
      </c>
      <c r="P103" s="41">
        <v>16100000000</v>
      </c>
    </row>
    <row r="104" spans="1:16" ht="14" x14ac:dyDescent="0.15">
      <c r="A104" s="7" t="s">
        <v>123</v>
      </c>
      <c r="B104" s="31">
        <f t="shared" si="9"/>
        <v>579996580100.5</v>
      </c>
      <c r="C104" s="31">
        <f ca="1">IFERROR(__xludf.DUMMYFUNCTION("IFERROR(STDEV.S(FILTER(M104:O104, M104:O104&lt;&gt;"""")))"),5934278.26493801)</f>
        <v>5934278.2649380099</v>
      </c>
      <c r="D104" s="49">
        <v>1.0231574579999999E-5</v>
      </c>
      <c r="E104" s="16"/>
      <c r="F104" s="16">
        <v>16918.3</v>
      </c>
      <c r="G104" s="16">
        <v>16918</v>
      </c>
      <c r="H104" s="39">
        <v>19187.5</v>
      </c>
      <c r="I104" s="40"/>
      <c r="K104" s="7">
        <v>30696140</v>
      </c>
      <c r="L104" s="7">
        <v>34282405</v>
      </c>
      <c r="N104" s="7">
        <f t="shared" si="10"/>
        <v>580000012511.5</v>
      </c>
      <c r="O104" s="7">
        <f t="shared" si="11"/>
        <v>579989727790</v>
      </c>
      <c r="P104" s="41">
        <v>580000000000</v>
      </c>
    </row>
    <row r="105" spans="1:16" ht="14" x14ac:dyDescent="0.15">
      <c r="A105" s="7" t="s">
        <v>124</v>
      </c>
      <c r="B105" s="31">
        <f t="shared" si="9"/>
        <v>29978910.48</v>
      </c>
      <c r="C105" s="31">
        <f ca="1">IFERROR(__xludf.DUMMYFUNCTION("IFERROR(STDEV.S(FILTER(M105:O105, M105:O105&lt;&gt;"""")))"),35954.1297662887)</f>
        <v>35954.129766288701</v>
      </c>
      <c r="D105" s="49">
        <v>1.199314091E-3</v>
      </c>
      <c r="E105" s="7"/>
      <c r="F105" s="7">
        <v>58.12</v>
      </c>
      <c r="G105" s="7">
        <v>58</v>
      </c>
      <c r="H105" s="38">
        <v>73.5</v>
      </c>
      <c r="I105" s="40"/>
      <c r="K105" s="7">
        <v>413620</v>
      </c>
      <c r="L105" s="7">
        <v>516162</v>
      </c>
      <c r="N105" s="7">
        <f t="shared" si="10"/>
        <v>29999335.439999998</v>
      </c>
      <c r="O105" s="7">
        <f t="shared" si="11"/>
        <v>29937396</v>
      </c>
      <c r="P105" s="41">
        <v>30000000</v>
      </c>
    </row>
    <row r="106" spans="1:16" ht="14" x14ac:dyDescent="0.15">
      <c r="A106" s="7" t="s">
        <v>125</v>
      </c>
      <c r="B106" s="31">
        <f t="shared" si="9"/>
        <v>60000510825.113335</v>
      </c>
      <c r="C106" s="31">
        <f ca="1">IFERROR(__xludf.DUMMYFUNCTION("IFERROR(STDEV.S(FILTER(M106:O106, M106:O106&lt;&gt;"""")))"),899855.173843739)</f>
        <v>899855.17384373897</v>
      </c>
      <c r="D106" s="49">
        <v>1.4997458550000001E-5</v>
      </c>
      <c r="E106" s="16"/>
      <c r="F106" s="16">
        <v>2679.93</v>
      </c>
      <c r="G106" s="16">
        <v>2680</v>
      </c>
      <c r="H106" s="39">
        <v>3537.1</v>
      </c>
      <c r="I106" s="40"/>
      <c r="K106" s="7">
        <v>18020270</v>
      </c>
      <c r="L106" s="7">
        <v>22388638</v>
      </c>
      <c r="N106" s="7">
        <f t="shared" si="10"/>
        <v>59999982635.339996</v>
      </c>
      <c r="O106" s="7">
        <f t="shared" si="11"/>
        <v>60001549840</v>
      </c>
      <c r="P106" s="41">
        <v>60000000000</v>
      </c>
    </row>
    <row r="107" spans="1:16" ht="14" x14ac:dyDescent="0.15">
      <c r="A107" s="7" t="s">
        <v>126</v>
      </c>
      <c r="B107" s="31">
        <f t="shared" si="9"/>
        <v>50811603.789999999</v>
      </c>
      <c r="C107" s="31">
        <f ca="1">IFERROR(__xludf.DUMMYFUNCTION("IFERROR(STDEV.S(FILTER(M107:O107, M107:O107&lt;&gt;"""")))"),288580.512268625)</f>
        <v>288580.51226862503</v>
      </c>
      <c r="D107" s="49">
        <v>5.6794214460000004E-3</v>
      </c>
      <c r="E107" s="7"/>
      <c r="F107" s="7">
        <v>97.39</v>
      </c>
      <c r="G107" s="7">
        <v>97</v>
      </c>
      <c r="H107" s="38">
        <v>116.2</v>
      </c>
      <c r="I107" s="40">
        <v>83</v>
      </c>
      <c r="K107" s="7">
        <v>434560</v>
      </c>
      <c r="L107" s="7">
        <v>524383</v>
      </c>
      <c r="N107" s="7">
        <f t="shared" si="10"/>
        <v>51069660.369999997</v>
      </c>
      <c r="O107" s="7">
        <f t="shared" si="11"/>
        <v>50865151</v>
      </c>
      <c r="P107" s="41">
        <v>50500000</v>
      </c>
    </row>
    <row r="108" spans="1:16" ht="14" x14ac:dyDescent="0.15">
      <c r="A108" s="7" t="s">
        <v>127</v>
      </c>
      <c r="B108" s="31">
        <f t="shared" si="9"/>
        <v>399243913.33333331</v>
      </c>
      <c r="C108" s="31">
        <f ca="1">IFERROR(__xludf.DUMMYFUNCTION("IFERROR(STDEV.S(FILTER(M108:O108, M108:O108&lt;&gt;"""")))"),1311520.89672004)</f>
        <v>1311520.8967200399</v>
      </c>
      <c r="D108" s="49">
        <v>3.2850116260000001E-3</v>
      </c>
      <c r="E108" s="7"/>
      <c r="F108" s="7">
        <v>84.48</v>
      </c>
      <c r="G108" s="7">
        <v>84</v>
      </c>
      <c r="H108" s="38">
        <v>98.4</v>
      </c>
      <c r="I108" s="40"/>
      <c r="K108" s="7">
        <v>3848510</v>
      </c>
      <c r="L108" s="7">
        <v>4734875</v>
      </c>
      <c r="N108" s="7">
        <f t="shared" si="10"/>
        <v>400002240</v>
      </c>
      <c r="O108" s="7">
        <f t="shared" si="11"/>
        <v>397729500</v>
      </c>
      <c r="P108" s="41">
        <v>400000000</v>
      </c>
    </row>
    <row r="109" spans="1:16" ht="14" x14ac:dyDescent="0.15">
      <c r="A109" s="7" t="s">
        <v>128</v>
      </c>
      <c r="B109" s="31">
        <f t="shared" si="9"/>
        <v>2786408111.6900001</v>
      </c>
      <c r="C109" s="31">
        <f ca="1">IFERROR(__xludf.DUMMYFUNCTION("IFERROR(STDEV.S(FILTER(M109:O109, M109:O109&lt;&gt;"""")))"),11773843.2345029)</f>
        <v>11773843.2345029</v>
      </c>
      <c r="D109" s="49">
        <v>4.2254554119999996E-3</v>
      </c>
      <c r="E109" s="16"/>
      <c r="F109" s="16">
        <v>2172.41</v>
      </c>
      <c r="G109" s="16">
        <v>2172</v>
      </c>
      <c r="H109" s="39">
        <v>2181.6999999999998</v>
      </c>
      <c r="I109" s="40"/>
      <c r="K109" s="7">
        <v>1261210</v>
      </c>
      <c r="L109" s="7">
        <v>1279627</v>
      </c>
      <c r="N109" s="7">
        <f t="shared" si="10"/>
        <v>2779874491.0699997</v>
      </c>
      <c r="O109" s="7">
        <f t="shared" si="11"/>
        <v>2779349844</v>
      </c>
      <c r="P109" s="41">
        <v>2800000000</v>
      </c>
    </row>
    <row r="110" spans="1:16" ht="14" x14ac:dyDescent="0.15">
      <c r="A110" s="7" t="s">
        <v>129</v>
      </c>
      <c r="B110" s="31">
        <f t="shared" si="9"/>
        <v>408994891931.41333</v>
      </c>
      <c r="C110" s="31">
        <f ca="1">IFERROR(__xludf.DUMMYFUNCTION("IFERROR(STDEV.S(FILTER(M110:O110, M110:O110&lt;&gt;"""")))"),8844651.26881623)</f>
        <v>8844651.2688162308</v>
      </c>
      <c r="D110" s="49">
        <v>2.1625334309999999E-5</v>
      </c>
      <c r="E110" s="16"/>
      <c r="F110" s="16">
        <v>3204.12</v>
      </c>
      <c r="G110" s="16">
        <v>3204</v>
      </c>
      <c r="H110" s="39">
        <v>3292.5</v>
      </c>
      <c r="I110" s="40"/>
      <c r="K110" s="7">
        <v>119484260</v>
      </c>
      <c r="L110" s="7">
        <v>127648152</v>
      </c>
      <c r="N110" s="7">
        <f t="shared" si="10"/>
        <v>408999996786.23999</v>
      </c>
      <c r="O110" s="7">
        <f t="shared" si="11"/>
        <v>408984679008</v>
      </c>
      <c r="P110" s="41">
        <v>409000000000</v>
      </c>
    </row>
    <row r="111" spans="1:16" ht="14" x14ac:dyDescent="0.15">
      <c r="A111" s="7" t="s">
        <v>130</v>
      </c>
      <c r="B111" s="31">
        <f t="shared" si="9"/>
        <v>1791306447.4666665</v>
      </c>
      <c r="C111" s="31">
        <f ca="1">IFERROR(__xludf.DUMMYFUNCTION("IFERROR(STDEV.S(FILTER(M111:O111, M111:O111&lt;&gt;"""")))"),165676287.563821)</f>
        <v>165676287.56382099</v>
      </c>
      <c r="D111" s="49">
        <v>9.2489081249999994E-2</v>
      </c>
      <c r="E111" s="7"/>
      <c r="F111" s="7">
        <v>624.08000000000004</v>
      </c>
      <c r="G111" s="7">
        <v>624</v>
      </c>
      <c r="H111" s="38">
        <v>455.5</v>
      </c>
      <c r="I111" s="40"/>
      <c r="K111" s="7">
        <v>1857820</v>
      </c>
      <c r="L111" s="7">
        <v>3023780</v>
      </c>
      <c r="N111" s="7">
        <f t="shared" si="10"/>
        <v>1887080622.4000001</v>
      </c>
      <c r="O111" s="7">
        <f t="shared" si="11"/>
        <v>1886838720</v>
      </c>
      <c r="P111" s="41">
        <v>1600000000</v>
      </c>
    </row>
    <row r="112" spans="1:16" ht="14" x14ac:dyDescent="0.15">
      <c r="A112" s="7" t="s">
        <v>131</v>
      </c>
      <c r="B112" s="31">
        <f t="shared" si="9"/>
        <v>34497366716.480003</v>
      </c>
      <c r="C112" s="31">
        <f ca="1">IFERROR(__xludf.DUMMYFUNCTION("IFERROR(STDEV.S(FILTER(M112:O112, M112:O112&lt;&gt;"""")))"),262089337.171969)</f>
        <v>262089337.171969</v>
      </c>
      <c r="D112" s="49">
        <v>7.597372267E-3</v>
      </c>
      <c r="E112" s="16"/>
      <c r="F112" s="16">
        <v>10284.48</v>
      </c>
      <c r="G112" s="16">
        <v>10284</v>
      </c>
      <c r="H112" s="39">
        <v>11901.9</v>
      </c>
      <c r="I112" s="40"/>
      <c r="K112" s="7">
        <v>2963100</v>
      </c>
      <c r="L112" s="7">
        <v>3339678</v>
      </c>
      <c r="N112" s="7">
        <f t="shared" si="10"/>
        <v>34346851597.439999</v>
      </c>
      <c r="O112" s="7">
        <f t="shared" si="11"/>
        <v>34345248552</v>
      </c>
      <c r="P112" s="41">
        <v>34800000000</v>
      </c>
    </row>
    <row r="113" spans="1:16" ht="14" x14ac:dyDescent="0.15">
      <c r="A113" s="7" t="s">
        <v>134</v>
      </c>
      <c r="B113" s="31">
        <f t="shared" si="9"/>
        <v>29015396590.5</v>
      </c>
      <c r="C113" s="31">
        <f ca="1">IFERROR(__xludf.DUMMYFUNCTION("IFERROR(STDEV.S(FILTER(M113:O113, M113:O113&lt;&gt;"""")))"),19231044.6466804)</f>
        <v>19231044.6466804</v>
      </c>
      <c r="D113" s="49">
        <v>6.6278758540000004E-4</v>
      </c>
      <c r="E113" s="7"/>
      <c r="F113" s="7">
        <v>785.75</v>
      </c>
      <c r="G113" s="7">
        <v>785</v>
      </c>
      <c r="H113" s="38">
        <v>845</v>
      </c>
      <c r="I113" s="40"/>
      <c r="K113" s="7">
        <v>34204780</v>
      </c>
      <c r="L113" s="7">
        <v>36954442</v>
      </c>
      <c r="N113" s="7">
        <f t="shared" si="10"/>
        <v>29036952801.5</v>
      </c>
      <c r="O113" s="7">
        <f t="shared" si="11"/>
        <v>29009236970</v>
      </c>
      <c r="P113" s="41">
        <v>29000000000</v>
      </c>
    </row>
    <row r="114" spans="1:16" ht="14" x14ac:dyDescent="0.15">
      <c r="A114" s="7" t="s">
        <v>135</v>
      </c>
      <c r="B114" s="31">
        <f t="shared" si="9"/>
        <v>100297255949.73999</v>
      </c>
      <c r="C114" s="31">
        <f ca="1">IFERROR(__xludf.DUMMYFUNCTION("IFERROR(STDEV.S(FILTER(M114:O114, M114:O114&lt;&gt;"""")))"),4757978.0446186)</f>
        <v>4757978.0446186</v>
      </c>
      <c r="D114" s="49">
        <v>4.7438765890000003E-5</v>
      </c>
      <c r="E114" s="16"/>
      <c r="F114" s="16">
        <v>3163.26</v>
      </c>
      <c r="G114" s="16">
        <v>3163</v>
      </c>
      <c r="H114" s="39">
        <v>3685.8</v>
      </c>
      <c r="I114" s="40"/>
      <c r="K114" s="7">
        <v>25788470</v>
      </c>
      <c r="L114" s="7">
        <v>31707797</v>
      </c>
      <c r="N114" s="7">
        <f t="shared" si="10"/>
        <v>100300005938.22</v>
      </c>
      <c r="O114" s="7">
        <f t="shared" si="11"/>
        <v>100291761911</v>
      </c>
      <c r="P114" s="41">
        <v>100300000000</v>
      </c>
    </row>
    <row r="115" spans="1:16" ht="14" x14ac:dyDescent="0.15">
      <c r="A115" s="7" t="s">
        <v>136</v>
      </c>
      <c r="B115" s="31">
        <f t="shared" si="9"/>
        <v>1001874385870.3734</v>
      </c>
      <c r="C115" s="31">
        <f ca="1">IFERROR(__xludf.DUMMYFUNCTION("IFERROR(STDEV.S(FILTER(M115:O115, M115:O115&lt;&gt;"""")))"),1623308270.82606)</f>
        <v>1623308270.8260601</v>
      </c>
      <c r="D115" s="49">
        <v>1.620271257E-3</v>
      </c>
      <c r="E115" s="16"/>
      <c r="F115" s="16">
        <v>18783.560000000001</v>
      </c>
      <c r="G115" s="16">
        <v>18784</v>
      </c>
      <c r="H115" s="39">
        <v>19316.599999999999</v>
      </c>
      <c r="I115" s="40"/>
      <c r="K115" s="7">
        <v>50681630</v>
      </c>
      <c r="L115" s="7">
        <v>53387102</v>
      </c>
      <c r="N115" s="7">
        <f t="shared" si="10"/>
        <v>1002799833643.1201</v>
      </c>
      <c r="O115" s="7">
        <f t="shared" si="11"/>
        <v>1002823323968</v>
      </c>
      <c r="P115" s="41">
        <v>1000000000000</v>
      </c>
    </row>
    <row r="116" spans="1:16" ht="14" x14ac:dyDescent="0.15">
      <c r="A116" s="7" t="s">
        <v>137</v>
      </c>
      <c r="B116" s="31">
        <f t="shared" si="9"/>
        <v>6173577869.4066668</v>
      </c>
      <c r="C116" s="31">
        <f ca="1">IFERROR(__xludf.DUMMYFUNCTION("IFERROR(STDEV.S(FILTER(M116:O116, M116:O116&lt;&gt;"""")))"),22885153.1661113)</f>
        <v>22885153.166111302</v>
      </c>
      <c r="D116" s="49">
        <v>3.7069514060000001E-3</v>
      </c>
      <c r="E116" s="16"/>
      <c r="F116" s="16">
        <v>2191.7399999999998</v>
      </c>
      <c r="G116" s="16">
        <v>2192</v>
      </c>
      <c r="H116" s="39">
        <v>2598.1</v>
      </c>
      <c r="I116" s="40"/>
      <c r="K116" s="7">
        <v>2312140</v>
      </c>
      <c r="L116" s="7">
        <v>2810553</v>
      </c>
      <c r="N116" s="7">
        <f t="shared" si="10"/>
        <v>6160001432.2199993</v>
      </c>
      <c r="O116" s="7">
        <f t="shared" si="11"/>
        <v>6160732176</v>
      </c>
      <c r="P116" s="41">
        <v>6200000000</v>
      </c>
    </row>
    <row r="117" spans="1:16" ht="14" x14ac:dyDescent="0.15">
      <c r="A117" s="7" t="s">
        <v>138</v>
      </c>
      <c r="B117" s="31">
        <f t="shared" si="9"/>
        <v>10009492.346666666</v>
      </c>
      <c r="C117" s="31">
        <f ca="1">IFERROR(__xludf.DUMMYFUNCTION("IFERROR(STDEV.S(FILTER(M117:O117, M117:O117&lt;&gt;"""")))"),8223.95790118872)</f>
        <v>8223.9579011887199</v>
      </c>
      <c r="D117" s="49">
        <v>8.2161588380000002E-4</v>
      </c>
      <c r="E117" s="7"/>
      <c r="F117" s="7">
        <v>854.04</v>
      </c>
      <c r="G117" s="7">
        <v>854</v>
      </c>
      <c r="H117" s="38"/>
      <c r="I117" s="40"/>
      <c r="K117" s="7">
        <v>10740</v>
      </c>
      <c r="L117" s="7">
        <v>11726</v>
      </c>
      <c r="N117" s="7">
        <f t="shared" si="10"/>
        <v>10014473.039999999</v>
      </c>
      <c r="O117" s="7">
        <f t="shared" si="11"/>
        <v>10014004</v>
      </c>
      <c r="P117" s="41">
        <v>10000000</v>
      </c>
    </row>
    <row r="118" spans="1:16" ht="14" x14ac:dyDescent="0.15">
      <c r="A118" s="7" t="s">
        <v>139</v>
      </c>
      <c r="B118" s="31">
        <f t="shared" si="9"/>
        <v>198196687856.70667</v>
      </c>
      <c r="C118" s="31">
        <f ca="1">IFERROR(__xludf.DUMMYFUNCTION("IFERROR(STDEV.S(FILTER(M118:O118, M118:O118&lt;&gt;"""")))"),5773678.73413153)</f>
        <v>5773678.7341315299</v>
      </c>
      <c r="D118" s="49">
        <v>2.91310556E-5</v>
      </c>
      <c r="E118" s="16"/>
      <c r="F118" s="16">
        <v>6724.34</v>
      </c>
      <c r="G118" s="16">
        <v>6724</v>
      </c>
      <c r="H118" s="39">
        <v>6997.8</v>
      </c>
      <c r="I118" s="40"/>
      <c r="K118" s="7">
        <v>27672370</v>
      </c>
      <c r="L118" s="7">
        <v>29475018</v>
      </c>
      <c r="N118" s="7">
        <f t="shared" si="10"/>
        <v>198200042538.12</v>
      </c>
      <c r="O118" s="7">
        <f t="shared" si="11"/>
        <v>198190021032</v>
      </c>
      <c r="P118" s="41">
        <v>198200000000</v>
      </c>
    </row>
    <row r="119" spans="1:16" ht="14" x14ac:dyDescent="0.15">
      <c r="A119" s="7" t="s">
        <v>140</v>
      </c>
      <c r="B119" s="31">
        <f t="shared" si="9"/>
        <v>11080347391.986666</v>
      </c>
      <c r="C119" s="31">
        <f ca="1">IFERROR(__xludf.DUMMYFUNCTION("IFERROR(STDEV.S(FILTER(M119:O119, M119:O119&lt;&gt;"""")))"),69668727.409129)</f>
        <v>69668727.409128994</v>
      </c>
      <c r="D119" s="49">
        <v>6.2875941470000004E-3</v>
      </c>
      <c r="E119" s="7"/>
      <c r="F119" s="7">
        <v>627.39</v>
      </c>
      <c r="G119" s="7">
        <v>627</v>
      </c>
      <c r="H119" s="38">
        <v>652.20000000000005</v>
      </c>
      <c r="I119" s="42">
        <v>88061</v>
      </c>
      <c r="K119" s="7">
        <v>16865010</v>
      </c>
      <c r="L119" s="7">
        <v>17730564</v>
      </c>
      <c r="N119" s="7">
        <f t="shared" si="10"/>
        <v>11123978547.959999</v>
      </c>
      <c r="O119" s="7">
        <f t="shared" si="11"/>
        <v>11117063628</v>
      </c>
      <c r="P119" s="41">
        <v>11000000000</v>
      </c>
    </row>
    <row r="120" spans="1:16" ht="14" x14ac:dyDescent="0.15">
      <c r="A120" s="7" t="s">
        <v>142</v>
      </c>
      <c r="B120" s="31">
        <f t="shared" si="9"/>
        <v>326846469274.13336</v>
      </c>
      <c r="C120" s="31">
        <f ca="1">IFERROR(__xludf.DUMMYFUNCTION("IFERROR(STDEV.S(FILTER(M120:O120, M120:O120&lt;&gt;"""")))"),132961754.125955)</f>
        <v>132961754.125955</v>
      </c>
      <c r="D120" s="49">
        <v>4.0680186760000002E-4</v>
      </c>
      <c r="E120" s="16"/>
      <c r="F120" s="16">
        <v>63975.9</v>
      </c>
      <c r="G120" s="16">
        <v>63976</v>
      </c>
      <c r="H120" s="39">
        <v>72510.399999999994</v>
      </c>
      <c r="I120" s="40"/>
      <c r="K120" s="7">
        <v>4516500</v>
      </c>
      <c r="L120" s="7">
        <v>5107696</v>
      </c>
      <c r="N120" s="7">
        <f t="shared" si="10"/>
        <v>326769448526.40002</v>
      </c>
      <c r="O120" s="7">
        <f t="shared" si="11"/>
        <v>326769959296</v>
      </c>
      <c r="P120" s="41">
        <v>327000000000</v>
      </c>
    </row>
    <row r="121" spans="1:16" ht="14" x14ac:dyDescent="0.15">
      <c r="A121" s="7" t="s">
        <v>143</v>
      </c>
      <c r="B121" s="31">
        <f t="shared" si="9"/>
        <v>156207141451.96667</v>
      </c>
      <c r="C121" s="31">
        <f ca="1">IFERROR(__xludf.DUMMYFUNCTION("IFERROR(STDEV.S(FILTER(M121:O121, M121:O121&lt;&gt;"""")))"),6213524.64361161)</f>
        <v>6213524.6436116099</v>
      </c>
      <c r="D121" s="49">
        <v>3.9777468469999998E-5</v>
      </c>
      <c r="E121" s="16"/>
      <c r="F121" s="16">
        <v>23508.82</v>
      </c>
      <c r="G121" s="16">
        <v>23509</v>
      </c>
      <c r="H121" s="39">
        <v>25972.7</v>
      </c>
      <c r="I121" s="40"/>
      <c r="K121" s="7">
        <v>6066490</v>
      </c>
      <c r="L121" s="7">
        <v>6644745</v>
      </c>
      <c r="N121" s="7">
        <f t="shared" si="10"/>
        <v>156210114150.89999</v>
      </c>
      <c r="O121" s="7">
        <f t="shared" si="11"/>
        <v>156211310205</v>
      </c>
      <c r="P121" s="41">
        <v>156200000000</v>
      </c>
    </row>
    <row r="122" spans="1:16" ht="14" x14ac:dyDescent="0.15">
      <c r="A122" s="7" t="s">
        <v>144</v>
      </c>
      <c r="B122" s="31">
        <f t="shared" si="9"/>
        <v>3501230946.9866662</v>
      </c>
      <c r="C122" s="31">
        <f ca="1">IFERROR(__xludf.DUMMYFUNCTION("IFERROR(STDEV.S(FILTER(M122:O122, M122:O122&lt;&gt;"""")))"),2231299.00524489)</f>
        <v>2231299.0052448902</v>
      </c>
      <c r="D122" s="49">
        <v>6.3728986720000005E-4</v>
      </c>
      <c r="E122" s="7"/>
      <c r="F122" s="7">
        <v>142.84</v>
      </c>
      <c r="G122" s="7">
        <v>143</v>
      </c>
      <c r="H122" s="38">
        <v>182.8</v>
      </c>
      <c r="I122" s="40"/>
      <c r="K122" s="7">
        <v>19215910</v>
      </c>
      <c r="L122" s="7">
        <v>24502144</v>
      </c>
      <c r="N122" s="7">
        <f t="shared" si="10"/>
        <v>3499886248.96</v>
      </c>
      <c r="O122" s="7">
        <f t="shared" si="11"/>
        <v>3503806592</v>
      </c>
      <c r="P122" s="41">
        <v>3500000000</v>
      </c>
    </row>
    <row r="123" spans="1:16" ht="14" x14ac:dyDescent="0.15">
      <c r="A123" s="7" t="s">
        <v>145</v>
      </c>
      <c r="B123" s="31">
        <f t="shared" si="9"/>
        <v>220977986116.11667</v>
      </c>
      <c r="C123" s="31">
        <f ca="1">IFERROR(__xludf.DUMMYFUNCTION("IFERROR(STDEV.S(FILTER(M123:O123, M123:O123&lt;&gt;"""")))"),38868667.9806971)</f>
        <v>38868667.980697103</v>
      </c>
      <c r="D123" s="49">
        <v>1.758938465E-4</v>
      </c>
      <c r="E123" s="16"/>
      <c r="F123" s="16">
        <v>1011.31</v>
      </c>
      <c r="G123" s="16">
        <v>1011</v>
      </c>
      <c r="H123" s="39">
        <v>1252.4000000000001</v>
      </c>
      <c r="I123" s="40"/>
      <c r="K123" s="7">
        <v>185896920</v>
      </c>
      <c r="L123" s="7">
        <v>218529285</v>
      </c>
      <c r="N123" s="7">
        <f t="shared" si="10"/>
        <v>221000851213.34998</v>
      </c>
      <c r="O123" s="7">
        <f t="shared" si="11"/>
        <v>220933107135</v>
      </c>
      <c r="P123" s="41">
        <v>221000000000</v>
      </c>
    </row>
    <row r="124" spans="1:16" ht="14" x14ac:dyDescent="0.15">
      <c r="A124" s="7" t="s">
        <v>147</v>
      </c>
      <c r="B124" s="31">
        <f t="shared" si="9"/>
        <v>66999288983.493324</v>
      </c>
      <c r="C124" s="31">
        <f ca="1">IFERROR(__xludf.DUMMYFUNCTION("IFERROR(STDEV.S(FILTER(M124:O124, M124:O124&lt;&gt;"""")))"),1216631.18767641)</f>
        <v>1216631.18767641</v>
      </c>
      <c r="D124" s="49">
        <v>1.815886715E-5</v>
      </c>
      <c r="E124" s="16"/>
      <c r="F124" s="16">
        <v>2554.08</v>
      </c>
      <c r="G124" s="16">
        <v>2554</v>
      </c>
      <c r="H124" s="39">
        <v>2667.6</v>
      </c>
      <c r="I124" s="40"/>
      <c r="K124" s="7">
        <v>25451260</v>
      </c>
      <c r="L124" s="7">
        <v>26232531</v>
      </c>
      <c r="N124" s="7">
        <f t="shared" si="10"/>
        <v>66999982776.479996</v>
      </c>
      <c r="O124" s="7">
        <f t="shared" si="11"/>
        <v>66997884174</v>
      </c>
      <c r="P124" s="41">
        <v>67000000000</v>
      </c>
    </row>
    <row r="125" spans="1:16" ht="28" x14ac:dyDescent="0.15">
      <c r="A125" s="7" t="s">
        <v>148</v>
      </c>
      <c r="B125" s="31">
        <f t="shared" si="9"/>
        <v>5427180211.5033331</v>
      </c>
      <c r="C125" s="31">
        <f ca="1">IFERROR(__xludf.DUMMYFUNCTION("IFERROR(STDEV.S(FILTER(M125:O125, M125:O125&lt;&gt;"""")))"),23541521.1841056)</f>
        <v>23541521.184105601</v>
      </c>
      <c r="D125" s="49">
        <v>4.3377076619999996E-3</v>
      </c>
      <c r="E125" s="16"/>
      <c r="F125" s="16">
        <v>2939.39</v>
      </c>
      <c r="G125" s="16">
        <v>2939</v>
      </c>
      <c r="H125" s="39">
        <v>2599.3000000000002</v>
      </c>
      <c r="I125" s="40"/>
      <c r="K125" s="7">
        <v>1917560</v>
      </c>
      <c r="L125" s="7">
        <v>1851109</v>
      </c>
      <c r="N125" s="7">
        <f t="shared" si="10"/>
        <v>5441131283.5100002</v>
      </c>
      <c r="O125" s="7">
        <f t="shared" si="11"/>
        <v>5440409351</v>
      </c>
      <c r="P125" s="41">
        <v>5400000000</v>
      </c>
    </row>
    <row r="126" spans="1:16" ht="14" x14ac:dyDescent="0.15">
      <c r="A126" s="7" t="s">
        <v>149</v>
      </c>
      <c r="B126" s="31">
        <f t="shared" si="9"/>
        <v>381988889218.90332</v>
      </c>
      <c r="C126" s="31">
        <f ca="1">IFERROR(__xludf.DUMMYFUNCTION("IFERROR(STDEV.S(FILTER(M126:O126, M126:O126&lt;&gt;"""")))"),9625295.75116841)</f>
        <v>9625295.7511684094</v>
      </c>
      <c r="D126" s="49">
        <v>2.5197842199999999E-5</v>
      </c>
      <c r="E126" s="16"/>
      <c r="F126" s="16">
        <v>70631.91</v>
      </c>
      <c r="G126" s="16">
        <v>70632</v>
      </c>
      <c r="H126" s="39">
        <v>74359.100000000006</v>
      </c>
      <c r="I126" s="42">
        <v>371866</v>
      </c>
      <c r="K126" s="7">
        <v>5137230</v>
      </c>
      <c r="L126" s="7">
        <v>5408081</v>
      </c>
      <c r="N126" s="7">
        <f t="shared" si="10"/>
        <v>381983090464.71002</v>
      </c>
      <c r="O126" s="7">
        <f t="shared" si="11"/>
        <v>381983577192</v>
      </c>
      <c r="P126" s="41">
        <v>382000000000</v>
      </c>
    </row>
    <row r="127" spans="1:16" ht="14" x14ac:dyDescent="0.15">
      <c r="A127" s="7" t="s">
        <v>150</v>
      </c>
      <c r="B127" s="31">
        <f t="shared" si="9"/>
        <v>1399875209.3866665</v>
      </c>
      <c r="C127" s="31">
        <f ca="1">IFERROR(__xludf.DUMMYFUNCTION("IFERROR(STDEV.S(FILTER(M127:O127, M127:O127&lt;&gt;"""")))"),209965.882880524)</f>
        <v>209965.882880524</v>
      </c>
      <c r="D127" s="49">
        <v>1.4998900010000001E-4</v>
      </c>
      <c r="E127" s="7"/>
      <c r="F127" s="7">
        <v>311.08</v>
      </c>
      <c r="G127" s="7">
        <v>311</v>
      </c>
      <c r="H127" s="38">
        <v>353.5</v>
      </c>
      <c r="I127" s="40"/>
      <c r="K127" s="7">
        <v>4002440</v>
      </c>
      <c r="L127" s="7">
        <v>4500427</v>
      </c>
      <c r="N127" s="7">
        <f t="shared" si="10"/>
        <v>1399992831.1599998</v>
      </c>
      <c r="O127" s="7">
        <f t="shared" si="11"/>
        <v>1399632797</v>
      </c>
      <c r="P127" s="41">
        <v>1400000000</v>
      </c>
    </row>
    <row r="128" spans="1:16" ht="14" x14ac:dyDescent="0.15">
      <c r="A128" s="7" t="s">
        <v>151</v>
      </c>
      <c r="B128" s="31">
        <f t="shared" si="9"/>
        <v>55026920874.783333</v>
      </c>
      <c r="C128" s="31">
        <f ca="1">IFERROR(__xludf.DUMMYFUNCTION("IFERROR(STDEV.S(FILTER(M128:O128, M128:O128&lt;&gt;"""")))"),45879118.3871843)</f>
        <v>45879118.3871843</v>
      </c>
      <c r="D128" s="49">
        <v>8.3375768910000001E-4</v>
      </c>
      <c r="E128" s="7"/>
      <c r="F128" s="7">
        <v>229.67</v>
      </c>
      <c r="G128" s="7">
        <v>230</v>
      </c>
      <c r="H128" s="38">
        <v>296.39999999999998</v>
      </c>
      <c r="I128" s="40"/>
      <c r="K128" s="7">
        <v>214264650</v>
      </c>
      <c r="L128" s="7">
        <v>239477805</v>
      </c>
      <c r="N128" s="7">
        <f t="shared" si="10"/>
        <v>55000867474.349998</v>
      </c>
      <c r="O128" s="7">
        <f t="shared" si="11"/>
        <v>55079895150</v>
      </c>
      <c r="P128" s="41">
        <v>55000000000</v>
      </c>
    </row>
    <row r="129" spans="1:16" ht="14" x14ac:dyDescent="0.15">
      <c r="A129" s="7" t="s">
        <v>152</v>
      </c>
      <c r="B129" s="31">
        <f t="shared" si="9"/>
        <v>840967754.3166666</v>
      </c>
      <c r="C129" s="31">
        <f ca="1">IFERROR(__xludf.DUMMYFUNCTION("IFERROR(STDEV.S(FILTER(M129:O129, M129:O129&lt;&gt;"""")))"),25087146.06056)</f>
        <v>25087146.060559999</v>
      </c>
      <c r="D129" s="49">
        <v>2.9831281800000001E-2</v>
      </c>
      <c r="E129" s="7"/>
      <c r="F129" s="7">
        <v>164.95</v>
      </c>
      <c r="G129" s="7">
        <v>165</v>
      </c>
      <c r="H129" s="38">
        <v>189.1</v>
      </c>
      <c r="I129" s="40"/>
      <c r="K129" s="7"/>
      <c r="L129" s="7">
        <v>5185341</v>
      </c>
      <c r="N129" s="7">
        <f t="shared" si="10"/>
        <v>855321997.94999993</v>
      </c>
      <c r="O129" s="7">
        <f t="shared" si="11"/>
        <v>855581265</v>
      </c>
      <c r="P129" s="41">
        <v>812000000</v>
      </c>
    </row>
    <row r="130" spans="1:16" ht="14" x14ac:dyDescent="0.15">
      <c r="A130" s="7" t="s">
        <v>153</v>
      </c>
      <c r="B130" s="31">
        <f t="shared" si="9"/>
        <v>136600814938.33333</v>
      </c>
      <c r="C130" s="31">
        <f ca="1">IFERROR(__xludf.DUMMYFUNCTION("IFERROR(STDEV.S(FILTER(M130:O130, M130:O130&lt;&gt;"""")))"),1295474.86259102)</f>
        <v>1295474.8625910201</v>
      </c>
      <c r="D130" s="49">
        <v>9.4836539820000005E-6</v>
      </c>
      <c r="E130" s="16"/>
      <c r="F130" s="16">
        <v>31435.5</v>
      </c>
      <c r="G130" s="16">
        <v>31436</v>
      </c>
      <c r="H130" s="39">
        <v>34989.9</v>
      </c>
      <c r="I130" s="40"/>
      <c r="K130" s="7">
        <v>3892100</v>
      </c>
      <c r="L130" s="7">
        <v>4345410</v>
      </c>
      <c r="N130" s="7">
        <f t="shared" si="10"/>
        <v>136600136055</v>
      </c>
      <c r="O130" s="7">
        <f t="shared" si="11"/>
        <v>136602308760</v>
      </c>
      <c r="P130" s="41">
        <v>136600000000</v>
      </c>
    </row>
    <row r="131" spans="1:16" ht="28" x14ac:dyDescent="0.15">
      <c r="A131" s="7" t="s">
        <v>154</v>
      </c>
      <c r="B131" s="31">
        <f t="shared" ref="B131:B162" si="12">IF(COUNTA(N131:P131) = 0, "", IFERROR(AVERAGEIF(N131:P131, "&lt;&gt;"), ""))</f>
        <v>801000720180.72009</v>
      </c>
      <c r="C131" s="31">
        <f ca="1">IFERROR(__xludf.DUMMYFUNCTION("IFERROR(STDEV.S(FILTER(M131:O131, M131:O131&lt;&gt;"""")))"),1015208.0274468)</f>
        <v>1015208.0274468</v>
      </c>
      <c r="D131" s="49">
        <v>1.267424613E-6</v>
      </c>
      <c r="E131" s="16"/>
      <c r="F131" s="16">
        <v>79996.84</v>
      </c>
      <c r="G131" s="16">
        <v>79997</v>
      </c>
      <c r="H131" s="39">
        <v>103277.7</v>
      </c>
      <c r="I131" s="40"/>
      <c r="K131" s="7">
        <v>8523440</v>
      </c>
      <c r="L131" s="7">
        <v>10012899</v>
      </c>
      <c r="N131" s="7">
        <f t="shared" ref="N131:N162" si="13">IF(OR(ISBLANK(F131), ISBLANK(L131)), "", F131 * L131)</f>
        <v>801000279239.15991</v>
      </c>
      <c r="O131" s="7">
        <f t="shared" ref="O131:O162" si="14">IF(OR(ISBLANK(G131), ISBLANK(L131)), "", G131 * L131)</f>
        <v>801001881303</v>
      </c>
      <c r="P131" s="41">
        <v>801000000000</v>
      </c>
    </row>
    <row r="132" spans="1:16" ht="14" x14ac:dyDescent="0.15">
      <c r="A132" s="7" t="s">
        <v>155</v>
      </c>
      <c r="B132" s="31">
        <f t="shared" si="12"/>
        <v>116999993437.94666</v>
      </c>
      <c r="C132" s="31">
        <f ca="1">IFERROR(__xludf.DUMMYFUNCTION("IFERROR(STDEV.S(FILTER(M132:O132, M132:O132&lt;&gt;"""")))"),33900.6386587793)</f>
        <v>33900.638658779302</v>
      </c>
      <c r="D132" s="49">
        <v>2.8974906459999997E-7</v>
      </c>
      <c r="E132" s="16"/>
      <c r="F132" s="16">
        <v>17504.009999999998</v>
      </c>
      <c r="G132" s="16">
        <v>17504</v>
      </c>
      <c r="H132" s="39">
        <v>17855.599999999999</v>
      </c>
      <c r="I132" s="40"/>
      <c r="K132" s="7">
        <v>6069810</v>
      </c>
      <c r="L132" s="7">
        <v>6684184</v>
      </c>
      <c r="N132" s="7">
        <f t="shared" si="13"/>
        <v>117000023577.84</v>
      </c>
      <c r="O132" s="7">
        <f t="shared" si="14"/>
        <v>116999956736</v>
      </c>
      <c r="P132" s="41">
        <v>117000000000</v>
      </c>
    </row>
    <row r="133" spans="1:16" ht="14" x14ac:dyDescent="0.15">
      <c r="A133" s="7" t="s">
        <v>156</v>
      </c>
      <c r="B133" s="31">
        <f t="shared" si="12"/>
        <v>1627328049820.6133</v>
      </c>
      <c r="C133" s="31">
        <f ca="1">IFERROR(__xludf.DUMMYFUNCTION("IFERROR(STDEV.S(FILTER(M133:O133, M133:O133&lt;&gt;"""")))"),23666786718.2861)</f>
        <v>23666786718.286098</v>
      </c>
      <c r="D133" s="49">
        <v>1.454334098E-2</v>
      </c>
      <c r="E133" s="16"/>
      <c r="F133" s="16">
        <v>49493.48</v>
      </c>
      <c r="G133" s="16">
        <v>49493</v>
      </c>
      <c r="H133" s="39">
        <v>52981</v>
      </c>
      <c r="I133" s="40"/>
      <c r="K133" s="7">
        <v>30115830</v>
      </c>
      <c r="L133" s="7">
        <v>33155883</v>
      </c>
      <c r="N133" s="7">
        <f t="shared" si="13"/>
        <v>1641000032142.8401</v>
      </c>
      <c r="O133" s="7">
        <f t="shared" si="14"/>
        <v>1640984117319</v>
      </c>
      <c r="P133" s="41">
        <v>1600000000000</v>
      </c>
    </row>
    <row r="134" spans="1:16" ht="14" x14ac:dyDescent="0.15">
      <c r="A134" s="7" t="s">
        <v>157</v>
      </c>
      <c r="B134" s="31">
        <f t="shared" si="12"/>
        <v>478993992587.29999</v>
      </c>
      <c r="C134" s="31">
        <f ca="1">IFERROR(__xludf.DUMMYFUNCTION("IFERROR(STDEV.S(FILTER(M134:O134, M134:O134&lt;&gt;"""")))"),9950917.81859879)</f>
        <v>9950917.8185987901</v>
      </c>
      <c r="D134" s="49">
        <v>2.077461925E-5</v>
      </c>
      <c r="E134" s="16"/>
      <c r="F134" s="16">
        <v>4235.1499999999996</v>
      </c>
      <c r="G134" s="16">
        <v>4235</v>
      </c>
      <c r="H134" s="39">
        <v>4785.1000000000004</v>
      </c>
      <c r="I134" s="40"/>
      <c r="K134" s="7">
        <v>103767130</v>
      </c>
      <c r="L134" s="7">
        <v>113100946</v>
      </c>
      <c r="N134" s="7">
        <f t="shared" si="13"/>
        <v>478999471451.89996</v>
      </c>
      <c r="O134" s="7">
        <f t="shared" si="14"/>
        <v>478982506310</v>
      </c>
      <c r="P134" s="41">
        <v>479000000000</v>
      </c>
    </row>
    <row r="135" spans="1:16" ht="14" x14ac:dyDescent="0.15">
      <c r="A135" s="7" t="s">
        <v>158</v>
      </c>
      <c r="B135" s="31">
        <f t="shared" si="12"/>
        <v>54618291968.159996</v>
      </c>
      <c r="C135" s="31">
        <f ca="1">IFERROR(__xludf.DUMMYFUNCTION("IFERROR(STDEV.S(FILTER(M135:O135, M135:O135&lt;&gt;"""")))"),881894792.537466)</f>
        <v>881894792.53746605</v>
      </c>
      <c r="D135" s="49">
        <v>1.6146509909999999E-2</v>
      </c>
      <c r="E135" s="16"/>
      <c r="F135" s="16">
        <v>1449.37</v>
      </c>
      <c r="G135" s="16">
        <v>1449</v>
      </c>
      <c r="H135" s="39">
        <v>1410.1</v>
      </c>
      <c r="I135" s="42">
        <v>57823</v>
      </c>
      <c r="K135" s="7">
        <v>38011740</v>
      </c>
      <c r="L135" s="7">
        <v>38040304</v>
      </c>
      <c r="N135" s="7">
        <f t="shared" si="13"/>
        <v>55134475408.479996</v>
      </c>
      <c r="O135" s="7">
        <f t="shared" si="14"/>
        <v>55120400496</v>
      </c>
      <c r="P135" s="41">
        <v>53600000000</v>
      </c>
    </row>
    <row r="136" spans="1:16" ht="14" x14ac:dyDescent="0.15">
      <c r="A136" s="7" t="s">
        <v>159</v>
      </c>
      <c r="B136" s="31">
        <f t="shared" si="12"/>
        <v>38070164166.786667</v>
      </c>
      <c r="C136" s="31">
        <f ca="1">IFERROR(__xludf.DUMMYFUNCTION("IFERROR(STDEV.S(FILTER(M136:O136, M136:O136&lt;&gt;"""")))"),60785292.2354398)</f>
        <v>60785292.2354398</v>
      </c>
      <c r="D136" s="49">
        <v>1.596664831E-3</v>
      </c>
      <c r="E136" s="16"/>
      <c r="F136" s="16">
        <v>3667.31</v>
      </c>
      <c r="G136" s="16">
        <v>3667</v>
      </c>
      <c r="H136" s="39">
        <v>3653.5</v>
      </c>
      <c r="I136" s="42">
        <v>73593</v>
      </c>
      <c r="K136" s="7">
        <v>10401060</v>
      </c>
      <c r="L136" s="7">
        <v>10390956</v>
      </c>
      <c r="N136" s="7">
        <f t="shared" si="13"/>
        <v>38106856848.360001</v>
      </c>
      <c r="O136" s="7">
        <f t="shared" si="14"/>
        <v>38103635652</v>
      </c>
      <c r="P136" s="41">
        <v>38000000000</v>
      </c>
    </row>
    <row r="137" spans="1:16" ht="14" x14ac:dyDescent="0.15">
      <c r="A137" s="7" t="s">
        <v>160</v>
      </c>
      <c r="B137" s="31">
        <f t="shared" si="12"/>
        <v>7086120101.7333336</v>
      </c>
      <c r="C137" s="31">
        <f ca="1">IFERROR(__xludf.DUMMYFUNCTION("IFERROR(STDEV.S(FILTER(M137:O137, M137:O137&lt;&gt;"""")))"),12021929.2158476)</f>
        <v>12021929.2158476</v>
      </c>
      <c r="D137" s="49">
        <v>1.6965460710000001E-3</v>
      </c>
      <c r="E137" s="16"/>
      <c r="F137" s="16">
        <v>2176.12</v>
      </c>
      <c r="G137" s="16">
        <v>2176</v>
      </c>
      <c r="H137" s="39">
        <v>2008.6</v>
      </c>
      <c r="I137" s="40"/>
      <c r="K137" s="7">
        <v>3534870</v>
      </c>
      <c r="L137" s="7">
        <v>3253210</v>
      </c>
      <c r="N137" s="7">
        <f t="shared" si="13"/>
        <v>7079375345.1999998</v>
      </c>
      <c r="O137" s="7">
        <f t="shared" si="14"/>
        <v>7078984960</v>
      </c>
      <c r="P137" s="41">
        <v>7100000000</v>
      </c>
    </row>
    <row r="138" spans="1:16" ht="14" x14ac:dyDescent="0.15">
      <c r="A138" s="7" t="s">
        <v>161</v>
      </c>
      <c r="B138" s="31">
        <f t="shared" si="12"/>
        <v>60290970.68</v>
      </c>
      <c r="C138" s="31">
        <f ca="1">IFERROR(__xludf.DUMMYFUNCTION("IFERROR(STDEV.S(FILTER(M138:O138, M138:O138&lt;&gt;"""")))"),3750475.29200455)</f>
        <v>3750475.2920045499</v>
      </c>
      <c r="D138" s="49">
        <v>6.2206251609999999E-2</v>
      </c>
      <c r="E138" s="7"/>
      <c r="F138" s="7">
        <v>22.36</v>
      </c>
      <c r="G138" s="7">
        <v>22</v>
      </c>
      <c r="H138" s="38">
        <v>23.6</v>
      </c>
      <c r="I138" s="40"/>
      <c r="K138" s="7">
        <v>2151740</v>
      </c>
      <c r="L138" s="7">
        <v>2814989</v>
      </c>
      <c r="N138" s="7">
        <f t="shared" si="13"/>
        <v>62943154.039999999</v>
      </c>
      <c r="O138" s="7">
        <f t="shared" si="14"/>
        <v>61929758</v>
      </c>
      <c r="P138" s="41">
        <v>56000000</v>
      </c>
    </row>
    <row r="139" spans="1:16" ht="14" x14ac:dyDescent="0.15">
      <c r="A139" s="7" t="s">
        <v>162</v>
      </c>
      <c r="B139" s="31">
        <f t="shared" si="12"/>
        <v>42571140884.703331</v>
      </c>
      <c r="C139" s="31">
        <f ca="1">IFERROR(__xludf.DUMMYFUNCTION("IFERROR(STDEV.S(FILTER(M139:O139, M139:O139&lt;&gt;"""")))"),148238629.915392)</f>
        <v>148238629.91539201</v>
      </c>
      <c r="D139" s="49">
        <v>3.482138999E-3</v>
      </c>
      <c r="E139" s="16"/>
      <c r="F139" s="16">
        <v>2216.29</v>
      </c>
      <c r="G139" s="16">
        <v>2216</v>
      </c>
      <c r="H139" s="39">
        <v>2128.6999999999998</v>
      </c>
      <c r="I139" s="42">
        <v>39569</v>
      </c>
      <c r="K139" s="7">
        <v>19908980</v>
      </c>
      <c r="L139" s="7">
        <v>19248159</v>
      </c>
      <c r="N139" s="7">
        <f t="shared" si="13"/>
        <v>42659502310.110001</v>
      </c>
      <c r="O139" s="7">
        <f t="shared" si="14"/>
        <v>42653920344</v>
      </c>
      <c r="P139" s="41">
        <v>42400000000</v>
      </c>
    </row>
    <row r="140" spans="1:16" ht="14" x14ac:dyDescent="0.15">
      <c r="A140" s="7" t="s">
        <v>163</v>
      </c>
      <c r="B140" s="31">
        <f t="shared" si="12"/>
        <v>4329637764771.0396</v>
      </c>
      <c r="C140" s="31">
        <f ca="1">IFERROR(__xludf.DUMMYFUNCTION("IFERROR(STDEV.S(FILTER(M140:O140, M140:O140&lt;&gt;"""")))"),25667057368.8314)</f>
        <v>25667057368.831402</v>
      </c>
      <c r="D140" s="49">
        <v>5.9282228130000001E-3</v>
      </c>
      <c r="E140" s="16"/>
      <c r="F140" s="16">
        <v>29789.96</v>
      </c>
      <c r="G140" s="16">
        <v>29790</v>
      </c>
      <c r="H140" s="39">
        <v>29982</v>
      </c>
      <c r="I140" s="40"/>
      <c r="K140" s="7">
        <v>144237220</v>
      </c>
      <c r="L140" s="7">
        <v>145836172</v>
      </c>
      <c r="N140" s="7">
        <f t="shared" si="13"/>
        <v>4344453730433.1196</v>
      </c>
      <c r="O140" s="7">
        <f t="shared" si="14"/>
        <v>4344459563880</v>
      </c>
      <c r="P140" s="41">
        <v>4300000000000</v>
      </c>
    </row>
    <row r="141" spans="1:16" ht="14" x14ac:dyDescent="0.15">
      <c r="A141" s="7" t="s">
        <v>164</v>
      </c>
      <c r="B141" s="31">
        <f t="shared" si="12"/>
        <v>9498528985.2666683</v>
      </c>
      <c r="C141" s="31">
        <f ca="1">IFERROR(__xludf.DUMMYFUNCTION("IFERROR(STDEV.S(FILTER(M141:O141, M141:O141&lt;&gt;"""")))"),2545357.56004237)</f>
        <v>2545357.5600423701</v>
      </c>
      <c r="D141" s="49">
        <v>2.679738688E-4</v>
      </c>
      <c r="E141" s="7"/>
      <c r="F141" s="7">
        <v>711.33</v>
      </c>
      <c r="G141" s="7">
        <v>711</v>
      </c>
      <c r="H141" s="38">
        <v>837.3</v>
      </c>
      <c r="I141" s="40"/>
      <c r="K141" s="7">
        <v>11364760</v>
      </c>
      <c r="L141" s="7">
        <v>13355260</v>
      </c>
      <c r="N141" s="7">
        <f t="shared" si="13"/>
        <v>9499997095.8000011</v>
      </c>
      <c r="O141" s="7">
        <f t="shared" si="14"/>
        <v>9495589860</v>
      </c>
      <c r="P141" s="41">
        <v>9500000000</v>
      </c>
    </row>
    <row r="142" spans="1:16" ht="28" x14ac:dyDescent="0.15">
      <c r="A142" s="7" t="s">
        <v>166</v>
      </c>
      <c r="B142" s="31">
        <f t="shared" si="12"/>
        <v>24004398.926666666</v>
      </c>
      <c r="C142" s="31">
        <f ca="1">IFERROR(__xludf.DUMMYFUNCTION("IFERROR(STDEV.S(FILTER(M142:O142, M142:O142&lt;&gt;"""")))"),6592.53467310853)</f>
        <v>6592.5346731085301</v>
      </c>
      <c r="D142" s="49">
        <v>2.746386066E-4</v>
      </c>
      <c r="E142" s="7"/>
      <c r="F142" s="7">
        <v>513.23</v>
      </c>
      <c r="G142" s="7">
        <v>513</v>
      </c>
      <c r="H142" s="38">
        <v>446.6</v>
      </c>
      <c r="I142" s="40"/>
      <c r="K142" s="7">
        <v>47090</v>
      </c>
      <c r="L142" s="7">
        <v>46786</v>
      </c>
      <c r="N142" s="7">
        <f t="shared" si="13"/>
        <v>24011978.780000001</v>
      </c>
      <c r="O142" s="7">
        <f t="shared" si="14"/>
        <v>24001218</v>
      </c>
      <c r="P142" s="41">
        <v>24000000</v>
      </c>
    </row>
    <row r="143" spans="1:16" ht="14" x14ac:dyDescent="0.15">
      <c r="A143" s="7" t="s">
        <v>167</v>
      </c>
      <c r="B143" s="31">
        <f t="shared" si="12"/>
        <v>299992771.26666665</v>
      </c>
      <c r="C143" s="31">
        <f ca="1">IFERROR(__xludf.DUMMYFUNCTION("IFERROR(STDEV.S(FILTER(M143:O143, M143:O143&lt;&gt;"""")))"),42421.3672199842)</f>
        <v>42421.367219984197</v>
      </c>
      <c r="D143" s="49">
        <v>1.414079647E-4</v>
      </c>
      <c r="E143" s="16"/>
      <c r="F143" s="16">
        <v>1680.47</v>
      </c>
      <c r="G143" s="16">
        <v>1680</v>
      </c>
      <c r="H143" s="39">
        <v>1700.5</v>
      </c>
      <c r="I143" s="40"/>
      <c r="K143" s="7">
        <v>174140</v>
      </c>
      <c r="L143" s="7">
        <v>178540</v>
      </c>
      <c r="N143" s="7">
        <f t="shared" si="13"/>
        <v>300031113.80000001</v>
      </c>
      <c r="O143" s="7">
        <f t="shared" si="14"/>
        <v>299947200</v>
      </c>
      <c r="P143" s="41">
        <v>300000000</v>
      </c>
    </row>
    <row r="144" spans="1:16" ht="42" x14ac:dyDescent="0.15">
      <c r="A144" s="7" t="s">
        <v>169</v>
      </c>
      <c r="B144" s="31">
        <f t="shared" si="12"/>
        <v>99991521.920000002</v>
      </c>
      <c r="C144" s="31">
        <f ca="1">IFERROR(__xludf.DUMMYFUNCTION("IFERROR(STDEV.S(FILTER(M144:O144, M144:O144&lt;&gt;"""")))"),20394.3752760208)</f>
        <v>20394.375276020801</v>
      </c>
      <c r="D144" s="49">
        <v>2.039610447E-4</v>
      </c>
      <c r="E144" s="7"/>
      <c r="F144" s="7">
        <v>972.37</v>
      </c>
      <c r="G144" s="7">
        <v>972</v>
      </c>
      <c r="H144" s="38">
        <v>914.4</v>
      </c>
      <c r="I144" s="40"/>
      <c r="K144" s="7">
        <v>107530</v>
      </c>
      <c r="L144" s="7">
        <v>102848</v>
      </c>
      <c r="N144" s="7">
        <f t="shared" si="13"/>
        <v>100006309.76000001</v>
      </c>
      <c r="O144" s="7">
        <f t="shared" si="14"/>
        <v>99968256</v>
      </c>
      <c r="P144" s="41">
        <v>100000000</v>
      </c>
    </row>
    <row r="145" spans="1:16" ht="28" x14ac:dyDescent="0.15">
      <c r="A145" s="7" t="s">
        <v>171</v>
      </c>
      <c r="B145" s="31">
        <f t="shared" si="12"/>
        <v>2186792337.0833335</v>
      </c>
      <c r="C145" s="31">
        <f ca="1">IFERROR(__xludf.DUMMYFUNCTION("IFERROR(STDEV.S(FILTER(M145:O145, M145:O145&lt;&gt;"""")))"),11438280.6501157)</f>
        <v>11438280.6501157</v>
      </c>
      <c r="D145" s="49">
        <v>5.2306204189999997E-3</v>
      </c>
      <c r="E145" s="16"/>
      <c r="F145" s="16">
        <v>9821.5499999999993</v>
      </c>
      <c r="G145" s="16">
        <v>9822</v>
      </c>
      <c r="H145" s="39">
        <v>11397.7</v>
      </c>
      <c r="I145" s="40"/>
      <c r="K145" s="7">
        <v>196770</v>
      </c>
      <c r="L145" s="7">
        <v>221975</v>
      </c>
      <c r="N145" s="7">
        <f t="shared" si="13"/>
        <v>2180138561.25</v>
      </c>
      <c r="O145" s="7">
        <f t="shared" si="14"/>
        <v>2180238450</v>
      </c>
      <c r="P145" s="41">
        <v>2200000000</v>
      </c>
    </row>
    <row r="146" spans="1:16" ht="14" x14ac:dyDescent="0.15">
      <c r="A146" s="7" t="s">
        <v>172</v>
      </c>
      <c r="B146" s="31">
        <f t="shared" si="12"/>
        <v>2428657736.3466668</v>
      </c>
      <c r="C146" s="31">
        <f ca="1">IFERROR(__xludf.DUMMYFUNCTION("IFERROR(STDEV.S(FILTER(M146:O146, M146:O146&lt;&gt;"""")))"),24826235.6428293)</f>
        <v>24826235.642829299</v>
      </c>
      <c r="D146" s="49">
        <v>1.0222204340000001E-2</v>
      </c>
      <c r="E146" s="7"/>
      <c r="F146" s="7">
        <v>77.959999999999994</v>
      </c>
      <c r="G146" s="7">
        <v>78</v>
      </c>
      <c r="H146" s="38">
        <v>78</v>
      </c>
      <c r="I146" s="40"/>
      <c r="K146" s="7">
        <v>28309270</v>
      </c>
      <c r="L146" s="7">
        <v>31328374</v>
      </c>
      <c r="N146" s="7">
        <f t="shared" si="13"/>
        <v>2442360037.04</v>
      </c>
      <c r="O146" s="7">
        <f t="shared" si="14"/>
        <v>2443613172</v>
      </c>
      <c r="P146" s="41">
        <v>2400000000</v>
      </c>
    </row>
    <row r="147" spans="1:16" ht="14" x14ac:dyDescent="0.15">
      <c r="A147" s="7" t="s">
        <v>173</v>
      </c>
      <c r="B147" s="31">
        <f t="shared" si="12"/>
        <v>25798938097.293335</v>
      </c>
      <c r="C147" s="31">
        <f ca="1">IFERROR(__xludf.DUMMYFUNCTION("IFERROR(STDEV.S(FILTER(M147:O147, M147:O147&lt;&gt;"""")))"),1802179.13863193)</f>
        <v>1802179.1386319301</v>
      </c>
      <c r="D147" s="49">
        <v>6.985477975E-5</v>
      </c>
      <c r="E147" s="16"/>
      <c r="F147" s="16">
        <v>1498.18</v>
      </c>
      <c r="G147" s="16">
        <v>1498</v>
      </c>
      <c r="H147" s="39">
        <v>1773.7</v>
      </c>
      <c r="I147" s="40"/>
      <c r="K147" s="7">
        <v>14152100</v>
      </c>
      <c r="L147" s="7">
        <v>17220866</v>
      </c>
      <c r="N147" s="7">
        <f t="shared" si="13"/>
        <v>25799957023.880001</v>
      </c>
      <c r="O147" s="7">
        <f t="shared" si="14"/>
        <v>25796857268</v>
      </c>
      <c r="P147" s="41">
        <v>25800000000</v>
      </c>
    </row>
    <row r="148" spans="1:16" ht="14" x14ac:dyDescent="0.15">
      <c r="A148" s="7" t="s">
        <v>174</v>
      </c>
      <c r="B148" s="31">
        <f t="shared" si="12"/>
        <v>8405306512.579999</v>
      </c>
      <c r="C148" s="31">
        <f ca="1">IFERROR(__xludf.DUMMYFUNCTION("IFERROR(STDEV.S(FILTER(M148:O148, M148:O148&lt;&gt;"""")))"),4610926.62857773)</f>
        <v>4610926.6285777297</v>
      </c>
      <c r="D148" s="49">
        <v>5.4857328779999999E-4</v>
      </c>
      <c r="E148" s="16"/>
      <c r="F148" s="16">
        <v>1230.1099999999999</v>
      </c>
      <c r="G148" s="16">
        <v>1230</v>
      </c>
      <c r="H148" s="39">
        <v>1179</v>
      </c>
      <c r="I148" s="42">
        <v>166569</v>
      </c>
      <c r="K148" s="7">
        <v>7131790</v>
      </c>
      <c r="L148" s="7">
        <v>6835434</v>
      </c>
      <c r="N148" s="7">
        <f t="shared" si="13"/>
        <v>8408335717.7399998</v>
      </c>
      <c r="O148" s="7">
        <f t="shared" si="14"/>
        <v>8407583820</v>
      </c>
      <c r="P148" s="41">
        <v>8400000000</v>
      </c>
    </row>
    <row r="149" spans="1:16" ht="14" x14ac:dyDescent="0.15">
      <c r="A149" s="7" t="s">
        <v>176</v>
      </c>
      <c r="B149" s="31">
        <f t="shared" si="12"/>
        <v>159999316797.59335</v>
      </c>
      <c r="C149" s="31">
        <f ca="1">IFERROR(__xludf.DUMMYFUNCTION("IFERROR(STDEV.S(FILTER(M149:O149, M149:O149&lt;&gt;"""")))"),1207230.73517554)</f>
        <v>1207230.73517554</v>
      </c>
      <c r="D149" s="49">
        <v>7.5452243129999998E-6</v>
      </c>
      <c r="E149" s="16"/>
      <c r="F149" s="16">
        <v>19766.259999999998</v>
      </c>
      <c r="G149" s="16">
        <v>19766</v>
      </c>
      <c r="H149" s="39">
        <v>22601.5</v>
      </c>
      <c r="I149" s="40"/>
      <c r="K149" s="7">
        <v>6876390</v>
      </c>
      <c r="L149" s="7">
        <v>8094603</v>
      </c>
      <c r="N149" s="7">
        <f t="shared" si="13"/>
        <v>160000027494.78</v>
      </c>
      <c r="O149" s="7">
        <f t="shared" si="14"/>
        <v>159997922898</v>
      </c>
      <c r="P149" s="41">
        <v>160000000000</v>
      </c>
    </row>
    <row r="150" spans="1:16" ht="14" x14ac:dyDescent="0.15">
      <c r="A150" s="7" t="s">
        <v>177</v>
      </c>
      <c r="B150" s="31">
        <f t="shared" si="12"/>
        <v>606765055.28000009</v>
      </c>
      <c r="C150" s="31">
        <f ca="1">IFERROR(__xludf.DUMMYFUNCTION("IFERROR(STDEV.S(FILTER(M150:O150, M150:O150&lt;&gt;"""")))"),5858972.25130718)</f>
        <v>5858972.2513071802</v>
      </c>
      <c r="D150" s="49">
        <v>9.6560805539999996E-3</v>
      </c>
      <c r="E150" s="7"/>
      <c r="F150" s="7">
        <v>110.02</v>
      </c>
      <c r="G150" s="7">
        <v>110</v>
      </c>
      <c r="H150" s="38">
        <v>109.7</v>
      </c>
      <c r="I150" s="40"/>
      <c r="K150" s="7">
        <v>5469720</v>
      </c>
      <c r="L150" s="7">
        <v>5546292</v>
      </c>
      <c r="N150" s="7">
        <f t="shared" si="13"/>
        <v>610203045.84000003</v>
      </c>
      <c r="O150" s="7">
        <f t="shared" si="14"/>
        <v>610092120</v>
      </c>
      <c r="P150" s="41">
        <v>600000000</v>
      </c>
    </row>
    <row r="151" spans="1:16" ht="14" x14ac:dyDescent="0.15">
      <c r="A151" s="7" t="s">
        <v>233</v>
      </c>
      <c r="B151" s="31">
        <f t="shared" si="12"/>
        <v>12592909997.01</v>
      </c>
      <c r="C151" s="31">
        <f ca="1">IFERROR(__xludf.DUMMYFUNCTION("IFERROR(STDEV.S(FILTER(M151:O151, M151:O151&lt;&gt;"""")))"),6145005.68077081)</f>
        <v>6145005.6807708098</v>
      </c>
      <c r="D151" s="49">
        <v>4.8797344559999999E-4</v>
      </c>
      <c r="E151" s="16"/>
      <c r="F151" s="16">
        <v>2313.09</v>
      </c>
      <c r="G151" s="16">
        <v>2313</v>
      </c>
      <c r="H151" s="39">
        <v>2325.3000000000002</v>
      </c>
      <c r="I151" s="42">
        <v>80192</v>
      </c>
      <c r="K151" s="7">
        <v>5418650</v>
      </c>
      <c r="L151" s="7">
        <v>5442767</v>
      </c>
      <c r="N151" s="7">
        <f t="shared" si="13"/>
        <v>12589609920.030001</v>
      </c>
      <c r="O151" s="7">
        <f t="shared" si="14"/>
        <v>12589120071</v>
      </c>
      <c r="P151" s="41">
        <v>12600000000</v>
      </c>
    </row>
    <row r="152" spans="1:16" ht="14" x14ac:dyDescent="0.15">
      <c r="A152" s="7" t="s">
        <v>179</v>
      </c>
      <c r="B152" s="31">
        <f t="shared" si="12"/>
        <v>18711689612.666668</v>
      </c>
      <c r="C152" s="31">
        <f ca="1">IFERROR(__xludf.DUMMYFUNCTION("IFERROR(STDEV.S(FILTER(M152:O152, M152:O152&lt;&gt;"""")))"),10132322.4221859)</f>
        <v>10132322.4221859</v>
      </c>
      <c r="D152" s="49">
        <v>5.4149692690000004E-4</v>
      </c>
      <c r="E152" s="16"/>
      <c r="F152" s="16">
        <v>8856.4</v>
      </c>
      <c r="G152" s="16">
        <v>8856</v>
      </c>
      <c r="H152" s="39">
        <v>9054.4</v>
      </c>
      <c r="I152" s="42">
        <v>31496</v>
      </c>
      <c r="K152" s="7">
        <v>2061980</v>
      </c>
      <c r="L152" s="7">
        <v>2113495</v>
      </c>
      <c r="N152" s="7">
        <f t="shared" si="13"/>
        <v>18717957118</v>
      </c>
      <c r="O152" s="7">
        <f t="shared" si="14"/>
        <v>18717111720</v>
      </c>
      <c r="P152" s="41">
        <v>18700000000</v>
      </c>
    </row>
    <row r="153" spans="1:16" ht="14" x14ac:dyDescent="0.15">
      <c r="A153" s="7" t="s">
        <v>284</v>
      </c>
      <c r="B153" s="31">
        <f t="shared" si="12"/>
        <v>44700129768.079994</v>
      </c>
      <c r="C153" s="31">
        <f ca="1">IFERROR(__xludf.DUMMYFUNCTION("IFERROR(STDEV.S(FILTER(M153:O153, M153:O153&lt;&gt;"""")))"),113412.679110004)</f>
        <v>113412.679110004</v>
      </c>
      <c r="D153" s="49">
        <v>2.5371890350000002E-6</v>
      </c>
      <c r="E153" s="16"/>
      <c r="F153" s="16">
        <v>58615.96</v>
      </c>
      <c r="G153" s="16">
        <v>58616</v>
      </c>
      <c r="H153" s="39">
        <v>77671.100000000006</v>
      </c>
      <c r="I153" s="40"/>
      <c r="K153" s="7">
        <v>616910</v>
      </c>
      <c r="L153" s="7">
        <v>762594</v>
      </c>
      <c r="N153" s="7">
        <f t="shared" si="13"/>
        <v>44700179400.239998</v>
      </c>
      <c r="O153" s="7">
        <f t="shared" si="14"/>
        <v>44700209904</v>
      </c>
      <c r="P153" s="41">
        <v>44700000000</v>
      </c>
    </row>
    <row r="154" spans="1:16" ht="14" x14ac:dyDescent="0.15">
      <c r="A154" s="7" t="s">
        <v>180</v>
      </c>
      <c r="B154" s="31">
        <f t="shared" si="12"/>
        <v>5997703916.5500002</v>
      </c>
      <c r="C154" s="31">
        <f ca="1">IFERROR(__xludf.DUMMYFUNCTION("IFERROR(STDEV.S(FILTER(M154:O154, M154:O154&lt;&gt;"""")))"),3911131.64098909)</f>
        <v>3911131.6409890899</v>
      </c>
      <c r="D154" s="49">
        <v>6.5210482130000004E-4</v>
      </c>
      <c r="E154" s="7"/>
      <c r="F154" s="7">
        <v>347.39</v>
      </c>
      <c r="G154" s="7">
        <v>347</v>
      </c>
      <c r="H154" s="38">
        <v>444</v>
      </c>
      <c r="I154" s="40"/>
      <c r="K154" s="7">
        <v>13339490</v>
      </c>
      <c r="L154" s="7">
        <v>17271435</v>
      </c>
      <c r="N154" s="7">
        <f t="shared" si="13"/>
        <v>5999923804.6499996</v>
      </c>
      <c r="O154" s="7">
        <f t="shared" si="14"/>
        <v>5993187945</v>
      </c>
      <c r="P154" s="41">
        <v>6000000000</v>
      </c>
    </row>
    <row r="155" spans="1:16" ht="14" x14ac:dyDescent="0.15">
      <c r="A155" s="7" t="s">
        <v>181</v>
      </c>
      <c r="B155" s="31">
        <f t="shared" si="12"/>
        <v>44791206049.473335</v>
      </c>
      <c r="C155" s="31">
        <f ca="1">IFERROR(__xludf.DUMMYFUNCTION("IFERROR(STDEV.S(FILTER(M155:O155, M155:O155&lt;&gt;"""")))"),14993715.6269454)</f>
        <v>14993715.626945401</v>
      </c>
      <c r="D155" s="49">
        <v>3.34746861E-4</v>
      </c>
      <c r="E155" s="7"/>
      <c r="F155" s="7">
        <v>728.42</v>
      </c>
      <c r="G155" s="7">
        <v>728</v>
      </c>
      <c r="H155" s="38">
        <v>821.4</v>
      </c>
      <c r="I155" s="40"/>
      <c r="K155" s="7">
        <v>55594840</v>
      </c>
      <c r="L155" s="7">
        <v>61502601</v>
      </c>
      <c r="N155" s="7">
        <f t="shared" si="13"/>
        <v>44799724620.419998</v>
      </c>
      <c r="O155" s="7">
        <f t="shared" si="14"/>
        <v>44773893528</v>
      </c>
      <c r="P155" s="41">
        <v>44800000000</v>
      </c>
    </row>
    <row r="156" spans="1:16" ht="14" x14ac:dyDescent="0.15">
      <c r="A156" s="7" t="s">
        <v>182</v>
      </c>
      <c r="B156" s="31">
        <f t="shared" si="12"/>
        <v>64600973017.890007</v>
      </c>
      <c r="C156" s="31">
        <f ca="1">IFERROR(__xludf.DUMMYFUNCTION("IFERROR(STDEV.S(FILTER(M156:O156, M156:O156&lt;&gt;"""")))"),172571632.884456)</f>
        <v>172571632.88445601</v>
      </c>
      <c r="D156" s="49">
        <v>2.6713472699999999E-3</v>
      </c>
      <c r="E156" s="16"/>
      <c r="F156" s="16">
        <v>1252.67</v>
      </c>
      <c r="G156" s="16">
        <v>1253</v>
      </c>
      <c r="H156" s="39">
        <v>1277.9000000000001</v>
      </c>
      <c r="I156" s="40"/>
      <c r="K156" s="7">
        <v>50746660</v>
      </c>
      <c r="L156" s="7">
        <v>51484401</v>
      </c>
      <c r="N156" s="7">
        <f t="shared" si="13"/>
        <v>64492964600.670006</v>
      </c>
      <c r="O156" s="7">
        <f t="shared" si="14"/>
        <v>64509954453</v>
      </c>
      <c r="P156" s="41">
        <v>64800000000</v>
      </c>
    </row>
    <row r="157" spans="1:16" ht="14" x14ac:dyDescent="0.15">
      <c r="A157" s="7" t="s">
        <v>286</v>
      </c>
      <c r="B157" s="31">
        <f t="shared" si="12"/>
        <v>26000601537.460003</v>
      </c>
      <c r="C157" s="31">
        <f ca="1">IFERROR(__xludf.DUMMYFUNCTION("IFERROR(STDEV.S(FILTER(M157:O157, M157:O157&lt;&gt;"""")))"),1060380.74215623)</f>
        <v>1060380.7421562299</v>
      </c>
      <c r="D157" s="49">
        <v>4.0782931140000001E-5</v>
      </c>
      <c r="E157" s="16"/>
      <c r="F157" s="16">
        <v>2392.83</v>
      </c>
      <c r="G157" s="16">
        <v>2393</v>
      </c>
      <c r="H157" s="39">
        <v>2254.8000000000002</v>
      </c>
      <c r="I157" s="40"/>
      <c r="K157" s="7">
        <v>11235070</v>
      </c>
      <c r="L157" s="7">
        <v>10865786</v>
      </c>
      <c r="N157" s="7">
        <f t="shared" si="13"/>
        <v>25999978714.380001</v>
      </c>
      <c r="O157" s="7">
        <f t="shared" si="14"/>
        <v>26001825898</v>
      </c>
      <c r="P157" s="41">
        <v>26000000000</v>
      </c>
    </row>
    <row r="158" spans="1:16" ht="14" x14ac:dyDescent="0.15">
      <c r="A158" s="7" t="s">
        <v>183</v>
      </c>
      <c r="B158" s="31">
        <f t="shared" si="12"/>
        <v>111696772263.56667</v>
      </c>
      <c r="C158" s="31">
        <f ca="1">IFERROR(__xludf.DUMMYFUNCTION("IFERROR(STDEV.S(FILTER(M158:O158, M158:O158&lt;&gt;"""")))"),430246596.721359)</f>
        <v>430246596.72135901</v>
      </c>
      <c r="D158" s="49">
        <v>3.8519161119999999E-3</v>
      </c>
      <c r="E158" s="16"/>
      <c r="F158" s="16">
        <v>2345.21</v>
      </c>
      <c r="G158" s="16">
        <v>2345</v>
      </c>
      <c r="H158" s="39">
        <v>2392.4</v>
      </c>
      <c r="I158" s="42">
        <v>100396</v>
      </c>
      <c r="K158" s="7">
        <v>46480880</v>
      </c>
      <c r="L158" s="7">
        <v>47735670</v>
      </c>
      <c r="N158" s="7">
        <f t="shared" si="13"/>
        <v>111950170640.7</v>
      </c>
      <c r="O158" s="7">
        <f t="shared" si="14"/>
        <v>111940146150</v>
      </c>
      <c r="P158" s="41">
        <v>111200000000</v>
      </c>
    </row>
    <row r="159" spans="1:16" ht="14" x14ac:dyDescent="0.15">
      <c r="A159" s="7" t="s">
        <v>184</v>
      </c>
      <c r="B159" s="31">
        <f t="shared" si="12"/>
        <v>53664088939.900002</v>
      </c>
      <c r="C159" s="31">
        <f ca="1">IFERROR(__xludf.DUMMYFUNCTION("IFERROR(STDEV.S(FILTER(M159:O159, M159:O159&lt;&gt;"""")))"),748323833.851975)</f>
        <v>748323833.85197496</v>
      </c>
      <c r="D159" s="49">
        <v>1.394459216E-2</v>
      </c>
      <c r="E159" s="16"/>
      <c r="F159" s="16">
        <v>2383.1</v>
      </c>
      <c r="G159" s="16">
        <v>2383</v>
      </c>
      <c r="H159" s="39">
        <v>2542</v>
      </c>
      <c r="I159" s="40"/>
      <c r="K159" s="7">
        <v>20778000</v>
      </c>
      <c r="L159" s="7">
        <v>22700377</v>
      </c>
      <c r="N159" s="7">
        <f t="shared" si="13"/>
        <v>54097268428.699997</v>
      </c>
      <c r="O159" s="7">
        <f t="shared" si="14"/>
        <v>54094998391</v>
      </c>
      <c r="P159" s="41">
        <v>52800000000</v>
      </c>
    </row>
    <row r="160" spans="1:16" ht="14" x14ac:dyDescent="0.15">
      <c r="A160" s="7" t="s">
        <v>185</v>
      </c>
      <c r="B160" s="31">
        <f t="shared" si="12"/>
        <v>3996561535.3133335</v>
      </c>
      <c r="C160" s="31">
        <f ca="1">IFERROR(__xludf.DUMMYFUNCTION("IFERROR(STDEV.S(FILTER(M160:O160, M160:O160&lt;&gt;"""")))"),6068235.01134334)</f>
        <v>6068235.0113433404</v>
      </c>
      <c r="D160" s="49">
        <v>1.5183639630000001E-3</v>
      </c>
      <c r="E160" s="7"/>
      <c r="F160" s="7">
        <v>83.22</v>
      </c>
      <c r="G160" s="7">
        <v>83</v>
      </c>
      <c r="H160" s="38">
        <v>101.7</v>
      </c>
      <c r="I160" s="40"/>
      <c r="K160" s="7">
        <v>38823320</v>
      </c>
      <c r="L160" s="7">
        <v>48066927</v>
      </c>
      <c r="N160" s="7">
        <f t="shared" si="13"/>
        <v>4000129664.9400001</v>
      </c>
      <c r="O160" s="7">
        <f t="shared" si="14"/>
        <v>3989554941</v>
      </c>
      <c r="P160" s="41">
        <v>4000000000</v>
      </c>
    </row>
    <row r="161" spans="1:16" ht="14" x14ac:dyDescent="0.15">
      <c r="A161" s="7" t="s">
        <v>186</v>
      </c>
      <c r="B161" s="31">
        <f t="shared" si="12"/>
        <v>99000933505.566666</v>
      </c>
      <c r="C161" s="31">
        <f ca="1">IFERROR(__xludf.DUMMYFUNCTION("IFERROR(STDEV.S(FILTER(M161:O161, M161:O161&lt;&gt;"""")))"),809595.784658694)</f>
        <v>809595.78465869406</v>
      </c>
      <c r="D161" s="49">
        <v>8.1776580889999996E-6</v>
      </c>
      <c r="E161" s="16"/>
      <c r="F161" s="16">
        <v>160221.14000000001</v>
      </c>
      <c r="G161" s="16">
        <v>160221</v>
      </c>
      <c r="H161" s="39">
        <v>180680.7</v>
      </c>
      <c r="I161" s="40"/>
      <c r="K161" s="7">
        <v>575370</v>
      </c>
      <c r="L161" s="7">
        <v>617905</v>
      </c>
      <c r="N161" s="7">
        <f t="shared" si="13"/>
        <v>99001443511.700012</v>
      </c>
      <c r="O161" s="7">
        <f t="shared" si="14"/>
        <v>99001357005</v>
      </c>
      <c r="P161" s="41">
        <v>99000000000</v>
      </c>
    </row>
    <row r="162" spans="1:16" ht="14" x14ac:dyDescent="0.15">
      <c r="A162" s="7" t="s">
        <v>187</v>
      </c>
      <c r="B162" s="31">
        <f t="shared" si="12"/>
        <v>171002351690.53333</v>
      </c>
      <c r="C162" s="31">
        <f ca="1">IFERROR(__xludf.DUMMYFUNCTION("IFERROR(STDEV.S(FILTER(M162:O162, M162:O162&lt;&gt;"""")))"),2733225.72781694)</f>
        <v>2733225.7278169398</v>
      </c>
      <c r="D162" s="49">
        <v>1.5983556370000001E-5</v>
      </c>
      <c r="E162" s="16"/>
      <c r="F162" s="16">
        <v>16417.349999999999</v>
      </c>
      <c r="G162" s="16">
        <v>16417</v>
      </c>
      <c r="H162" s="39">
        <v>17635.900000000001</v>
      </c>
      <c r="I162" s="42">
        <v>194750</v>
      </c>
      <c r="K162" s="7">
        <v>9696110</v>
      </c>
      <c r="L162" s="7">
        <v>10416136</v>
      </c>
      <c r="N162" s="7">
        <f t="shared" si="13"/>
        <v>171005350359.59998</v>
      </c>
      <c r="O162" s="7">
        <f t="shared" si="14"/>
        <v>171001704712</v>
      </c>
      <c r="P162" s="41">
        <v>171000000000</v>
      </c>
    </row>
    <row r="163" spans="1:16" ht="14" x14ac:dyDescent="0.15">
      <c r="A163" s="7" t="s">
        <v>188</v>
      </c>
      <c r="B163" s="31">
        <f t="shared" ref="B163:B185" si="15">IF(COUNTA(N163:P163) = 0, "", IFERROR(AVERAGEIF(N163:P163, "&lt;&gt;"), ""))</f>
        <v>40406905943.5</v>
      </c>
      <c r="C163" s="31">
        <f ca="1">IFERROR(__xludf.DUMMYFUNCTION("IFERROR(STDEV.S(FILTER(M163:O163, M163:O163&lt;&gt;"""")))"),6078947.83307208)</f>
        <v>6078947.8330720803</v>
      </c>
      <c r="D163" s="49">
        <v>1.5044328910000001E-4</v>
      </c>
      <c r="E163" s="16"/>
      <c r="F163" s="16">
        <v>4641.25</v>
      </c>
      <c r="G163" s="16">
        <v>4641</v>
      </c>
      <c r="H163" s="39">
        <v>4933.7</v>
      </c>
      <c r="I163" s="42">
        <v>52385</v>
      </c>
      <c r="K163" s="7">
        <v>8188650</v>
      </c>
      <c r="L163" s="7">
        <v>8707018</v>
      </c>
      <c r="N163" s="7">
        <f t="shared" ref="N163:N185" si="16">IF(OR(ISBLANK(F163), ISBLANK(L163)), "", F163 * L163)</f>
        <v>40411447292.5</v>
      </c>
      <c r="O163" s="7">
        <f t="shared" ref="O163:O185" si="17">IF(OR(ISBLANK(G163), ISBLANK(L163)), "", G163 * L163)</f>
        <v>40409270538</v>
      </c>
      <c r="P163" s="41">
        <v>40400000000</v>
      </c>
    </row>
    <row r="164" spans="1:16" ht="14" x14ac:dyDescent="0.15">
      <c r="A164" s="7" t="s">
        <v>189</v>
      </c>
      <c r="B164" s="31">
        <f t="shared" si="15"/>
        <v>7123136967.1999998</v>
      </c>
      <c r="C164" s="31">
        <f ca="1">IFERROR(__xludf.DUMMYFUNCTION("IFERROR(STDEV.S(FILTER(M164:O164, M164:O164&lt;&gt;"""")))"),20233520.9979406)</f>
        <v>20233520.9979406</v>
      </c>
      <c r="D164" s="49">
        <v>2.8405351590000002E-3</v>
      </c>
      <c r="E164" s="7"/>
      <c r="F164" s="7">
        <v>329.74</v>
      </c>
      <c r="G164" s="7">
        <v>330</v>
      </c>
      <c r="H164" s="38">
        <v>371.4</v>
      </c>
      <c r="I164" s="40"/>
      <c r="K164" s="7">
        <v>20273660</v>
      </c>
      <c r="L164" s="7">
        <v>21628840</v>
      </c>
      <c r="N164" s="7">
        <f t="shared" si="16"/>
        <v>7131893701.6000004</v>
      </c>
      <c r="O164" s="7">
        <f t="shared" si="17"/>
        <v>7137517200</v>
      </c>
      <c r="P164" s="41">
        <v>7100000000</v>
      </c>
    </row>
    <row r="165" spans="1:16" ht="14" x14ac:dyDescent="0.15">
      <c r="A165" s="7" t="s">
        <v>191</v>
      </c>
      <c r="B165" s="31">
        <f t="shared" si="15"/>
        <v>63473118363.946663</v>
      </c>
      <c r="C165" s="31">
        <f ca="1">IFERROR(__xludf.DUMMYFUNCTION("IFERROR(STDEV.S(FILTER(M165:O165, M165:O165&lt;&gt;"""")))"),23282793.1821581)</f>
        <v>23282793.182158101</v>
      </c>
      <c r="D165" s="49">
        <v>3.6681344450000003E-4</v>
      </c>
      <c r="E165" s="16"/>
      <c r="F165" s="16">
        <v>6367.07</v>
      </c>
      <c r="G165" s="16">
        <v>6367</v>
      </c>
      <c r="H165" s="39">
        <v>7588.4</v>
      </c>
      <c r="I165" s="40"/>
      <c r="K165" s="7">
        <v>8425550</v>
      </c>
      <c r="L165" s="7">
        <v>9966912</v>
      </c>
      <c r="N165" s="7">
        <f t="shared" si="16"/>
        <v>63460026387.839996</v>
      </c>
      <c r="O165" s="7">
        <f t="shared" si="17"/>
        <v>63459328704</v>
      </c>
      <c r="P165" s="41">
        <v>63500000000</v>
      </c>
    </row>
    <row r="166" spans="1:16" ht="14" x14ac:dyDescent="0.15">
      <c r="A166" s="7" t="s">
        <v>192</v>
      </c>
      <c r="B166" s="31">
        <f t="shared" si="15"/>
        <v>83823113411.030014</v>
      </c>
      <c r="C166" s="31">
        <f ca="1">IFERROR(__xludf.DUMMYFUNCTION("IFERROR(STDEV.S(FILTER(M166:O166, M166:O166&lt;&gt;"""")))"),153203962.627123)</f>
        <v>153203962.627123</v>
      </c>
      <c r="D166" s="49">
        <v>1.8277054670000001E-3</v>
      </c>
      <c r="E166" s="16"/>
      <c r="F166" s="16">
        <v>1336.93</v>
      </c>
      <c r="G166" s="16">
        <v>1337</v>
      </c>
      <c r="H166" s="39">
        <v>1608.1</v>
      </c>
      <c r="I166" s="40"/>
      <c r="K166" s="7">
        <v>50351510</v>
      </c>
      <c r="L166" s="7">
        <v>62630413</v>
      </c>
      <c r="N166" s="7">
        <f t="shared" si="16"/>
        <v>83732478052.090012</v>
      </c>
      <c r="O166" s="7">
        <f t="shared" si="17"/>
        <v>83736862181</v>
      </c>
      <c r="P166" s="41">
        <v>84000000000</v>
      </c>
    </row>
    <row r="167" spans="1:16" ht="14" x14ac:dyDescent="0.15">
      <c r="A167" s="7" t="s">
        <v>193</v>
      </c>
      <c r="B167" s="31">
        <f t="shared" si="15"/>
        <v>224505578255.66666</v>
      </c>
      <c r="C167" s="31">
        <f ca="1">IFERROR(__xludf.DUMMYFUNCTION("IFERROR(STDEV.S(FILTER(M167:O167, M167:O167&lt;&gt;"""")))"),5152980.62063635)</f>
        <v>5152980.6206363495</v>
      </c>
      <c r="D167" s="49">
        <v>2.2952572760000001E-5</v>
      </c>
      <c r="E167" s="16"/>
      <c r="F167" s="16">
        <v>3130.05</v>
      </c>
      <c r="G167" s="16">
        <v>3130</v>
      </c>
      <c r="H167" s="39">
        <v>3281.4</v>
      </c>
      <c r="I167" s="40"/>
      <c r="K167" s="7">
        <v>70216370</v>
      </c>
      <c r="L167" s="7">
        <v>71727340</v>
      </c>
      <c r="N167" s="7">
        <f t="shared" si="16"/>
        <v>224510160567</v>
      </c>
      <c r="O167" s="7">
        <f t="shared" si="17"/>
        <v>224506574200</v>
      </c>
      <c r="P167" s="41">
        <v>224500000000</v>
      </c>
    </row>
    <row r="168" spans="1:16" ht="14" x14ac:dyDescent="0.15">
      <c r="A168" s="7" t="s">
        <v>194</v>
      </c>
      <c r="B168" s="31">
        <f t="shared" si="15"/>
        <v>11499166835.840002</v>
      </c>
      <c r="C168" s="31">
        <f ca="1">IFERROR(__xludf.DUMMYFUNCTION("IFERROR(STDEV.S(FILTER(M168:O168, M168:O168&lt;&gt;"""")))"),1437221.50560736)</f>
        <v>1437221.50560736</v>
      </c>
      <c r="D168" s="49">
        <v>1.2498483810000001E-4</v>
      </c>
      <c r="E168" s="16"/>
      <c r="F168" s="16">
        <v>1295.28</v>
      </c>
      <c r="G168" s="16">
        <v>1295</v>
      </c>
      <c r="H168" s="44">
        <v>1590.8</v>
      </c>
      <c r="I168" s="40"/>
      <c r="K168" s="7">
        <v>7472450</v>
      </c>
      <c r="L168" s="7">
        <v>8878384</v>
      </c>
      <c r="N168" s="7">
        <f t="shared" si="16"/>
        <v>11499993227.52</v>
      </c>
      <c r="O168" s="7">
        <f t="shared" si="17"/>
        <v>11497507280</v>
      </c>
      <c r="P168" s="41">
        <v>11500000000</v>
      </c>
    </row>
    <row r="169" spans="1:16" ht="28" x14ac:dyDescent="0.15">
      <c r="A169" s="7" t="s">
        <v>196</v>
      </c>
      <c r="B169" s="31">
        <f t="shared" si="15"/>
        <v>4051629474.2666664</v>
      </c>
      <c r="C169" s="31">
        <f ca="1">IFERROR(__xludf.DUMMYFUNCTION("IFERROR(STDEV.S(FILTER(M169:O169, M169:O169&lt;&gt;"""")))"),217917525.181117)</f>
        <v>217917525.181117</v>
      </c>
      <c r="D169" s="49">
        <v>5.3785156459999997E-2</v>
      </c>
      <c r="E169" s="16"/>
      <c r="F169" s="16">
        <v>2807.92</v>
      </c>
      <c r="G169" s="16">
        <v>2808</v>
      </c>
      <c r="H169" s="39">
        <v>2835</v>
      </c>
      <c r="I169" s="40"/>
      <c r="K169" s="7">
        <v>1345340</v>
      </c>
      <c r="L169" s="7">
        <v>1487715</v>
      </c>
      <c r="N169" s="7">
        <f t="shared" si="16"/>
        <v>4177384702.8000002</v>
      </c>
      <c r="O169" s="7">
        <f t="shared" si="17"/>
        <v>4177503720</v>
      </c>
      <c r="P169" s="41">
        <v>3800000000</v>
      </c>
    </row>
    <row r="170" spans="1:16" ht="14" x14ac:dyDescent="0.15">
      <c r="A170" s="7" t="s">
        <v>197</v>
      </c>
      <c r="B170" s="31">
        <f t="shared" si="15"/>
        <v>4195963755.4166665</v>
      </c>
      <c r="C170" s="31">
        <f ca="1">IFERROR(__xludf.DUMMYFUNCTION("IFERROR(STDEV.S(FILTER(M170:O170, M170:O170&lt;&gt;"""")))"),3642430.70079425)</f>
        <v>3642430.7007942498</v>
      </c>
      <c r="D170" s="49">
        <v>8.6807963870000001E-4</v>
      </c>
      <c r="E170" s="7"/>
      <c r="F170" s="7">
        <v>348.17</v>
      </c>
      <c r="G170" s="7">
        <v>348</v>
      </c>
      <c r="H170" s="38">
        <v>376.4</v>
      </c>
      <c r="I170" s="40"/>
      <c r="K170" s="7">
        <v>11274290</v>
      </c>
      <c r="L170" s="7">
        <v>12048625</v>
      </c>
      <c r="N170" s="7">
        <f t="shared" si="16"/>
        <v>4194969766.25</v>
      </c>
      <c r="O170" s="7">
        <f t="shared" si="17"/>
        <v>4192921500</v>
      </c>
      <c r="P170" s="41">
        <v>4200000000</v>
      </c>
    </row>
    <row r="171" spans="1:16" ht="14" x14ac:dyDescent="0.15">
      <c r="A171" s="7" t="s">
        <v>254</v>
      </c>
      <c r="B171" s="31">
        <f t="shared" si="15"/>
        <v>231576230596.91666</v>
      </c>
      <c r="C171" s="31">
        <f ca="1">IFERROR(__xludf.DUMMYFUNCTION("IFERROR(STDEV.S(FILTER(M171:O171, M171:O171&lt;&gt;"""")))"),3963160984.47793)</f>
        <v>3963160984.4779301</v>
      </c>
      <c r="D171" s="49">
        <v>1.7113850480000001E-2</v>
      </c>
      <c r="E171" s="16"/>
      <c r="F171" s="16">
        <v>2697.65</v>
      </c>
      <c r="G171" s="16">
        <v>2698</v>
      </c>
      <c r="H171" s="39">
        <v>2946.9</v>
      </c>
      <c r="I171" s="42">
        <v>180370</v>
      </c>
      <c r="K171" s="7">
        <v>77181880</v>
      </c>
      <c r="L171" s="7">
        <v>86686255</v>
      </c>
      <c r="N171" s="7">
        <f t="shared" si="16"/>
        <v>233849175800.75</v>
      </c>
      <c r="O171" s="7">
        <f t="shared" si="17"/>
        <v>233879515990</v>
      </c>
      <c r="P171" s="41">
        <v>227000000000</v>
      </c>
    </row>
    <row r="172" spans="1:16" ht="14" x14ac:dyDescent="0.15">
      <c r="A172" s="7" t="s">
        <v>199</v>
      </c>
      <c r="B172" s="31">
        <f t="shared" si="15"/>
        <v>1403076120.1700001</v>
      </c>
      <c r="C172" s="31">
        <f ca="1">IFERROR(__xludf.DUMMYFUNCTION("IFERROR(STDEV.S(FILTER(M172:O172, M172:O172&lt;&gt;"""")))"),2692403.20865703)</f>
        <v>2692403.20865703</v>
      </c>
      <c r="D172" s="49">
        <v>1.918928824E-3</v>
      </c>
      <c r="E172" s="7"/>
      <c r="F172" s="7">
        <v>198.11</v>
      </c>
      <c r="G172" s="7">
        <v>198</v>
      </c>
      <c r="H172" s="38">
        <v>257</v>
      </c>
      <c r="I172" s="40"/>
      <c r="K172" s="7">
        <v>6075280</v>
      </c>
      <c r="L172" s="7">
        <v>7092041</v>
      </c>
      <c r="N172" s="7">
        <f t="shared" si="16"/>
        <v>1405004242.51</v>
      </c>
      <c r="O172" s="7">
        <f t="shared" si="17"/>
        <v>1404224118</v>
      </c>
      <c r="P172" s="41">
        <v>1400000000</v>
      </c>
    </row>
    <row r="173" spans="1:16" ht="14" x14ac:dyDescent="0.15">
      <c r="A173" s="7" t="s">
        <v>201</v>
      </c>
      <c r="B173" s="31">
        <f t="shared" si="15"/>
        <v>38992780224.68</v>
      </c>
      <c r="C173" s="31">
        <f ca="1">IFERROR(__xludf.DUMMYFUNCTION("IFERROR(STDEV.S(FILTER(M173:O173, M173:O173&lt;&gt;"""")))"),12469878.7913844)</f>
        <v>12469878.791384401</v>
      </c>
      <c r="D173" s="49">
        <v>3.1979968390000001E-4</v>
      </c>
      <c r="E173" s="7"/>
      <c r="F173" s="7">
        <v>849.47</v>
      </c>
      <c r="G173" s="7">
        <v>849</v>
      </c>
      <c r="H173" s="39">
        <v>1004.3</v>
      </c>
      <c r="I173" s="40"/>
      <c r="K173" s="7">
        <v>36395540</v>
      </c>
      <c r="L173" s="7">
        <v>45910932</v>
      </c>
      <c r="N173" s="7">
        <f t="shared" si="16"/>
        <v>38999959406.040001</v>
      </c>
      <c r="O173" s="7">
        <f t="shared" si="17"/>
        <v>38978381268</v>
      </c>
      <c r="P173" s="41">
        <v>39000000000</v>
      </c>
    </row>
    <row r="174" spans="1:16" ht="14" x14ac:dyDescent="0.15">
      <c r="A174" s="7" t="s">
        <v>202</v>
      </c>
      <c r="B174" s="31">
        <f t="shared" si="15"/>
        <v>55102496013.010002</v>
      </c>
      <c r="C174" s="31">
        <f ca="1">IFERROR(__xludf.DUMMYFUNCTION("IFERROR(STDEV.S(FILTER(M174:O174, M174:O174&lt;&gt;"""")))"),4341737.09815017)</f>
        <v>4341737.0981501704</v>
      </c>
      <c r="D174" s="49">
        <v>7.8793837160000003E-5</v>
      </c>
      <c r="E174" s="16"/>
      <c r="F174" s="16">
        <v>1243.83</v>
      </c>
      <c r="G174" s="16">
        <v>1244</v>
      </c>
      <c r="H174" s="39">
        <v>1217.0999999999999</v>
      </c>
      <c r="I174" s="40"/>
      <c r="K174" s="7">
        <v>45972380</v>
      </c>
      <c r="L174" s="7">
        <v>44298641</v>
      </c>
      <c r="N174" s="7">
        <f t="shared" si="16"/>
        <v>55099978635.029999</v>
      </c>
      <c r="O174" s="7">
        <f t="shared" si="17"/>
        <v>55107509404</v>
      </c>
      <c r="P174" s="41">
        <v>55100000000</v>
      </c>
    </row>
    <row r="175" spans="1:16" ht="28" x14ac:dyDescent="0.15">
      <c r="A175" s="7" t="s">
        <v>203</v>
      </c>
      <c r="B175" s="31">
        <f t="shared" si="15"/>
        <v>153339780.06</v>
      </c>
      <c r="C175" s="31">
        <f ca="1">IFERROR(__xludf.DUMMYFUNCTION("IFERROR(STDEV.S(FILTER(M175:O175, M175:O175&lt;&gt;"""")))"),3312770.66875769)</f>
        <v>3312770.6687576901</v>
      </c>
      <c r="D175" s="49">
        <v>2.1604117780000001E-2</v>
      </c>
      <c r="E175" s="7"/>
      <c r="F175" s="7">
        <v>15.67</v>
      </c>
      <c r="G175" s="7">
        <v>16</v>
      </c>
      <c r="H175" s="38">
        <v>16.5</v>
      </c>
      <c r="I175" s="40"/>
      <c r="K175" s="7">
        <v>8059440</v>
      </c>
      <c r="L175" s="7">
        <v>9789054</v>
      </c>
      <c r="N175" s="7">
        <f t="shared" si="16"/>
        <v>153394476.18000001</v>
      </c>
      <c r="O175" s="7">
        <f t="shared" si="17"/>
        <v>156624864</v>
      </c>
      <c r="P175" s="41">
        <v>150000000</v>
      </c>
    </row>
    <row r="176" spans="1:16" ht="28" x14ac:dyDescent="0.15">
      <c r="A176" s="7" t="s">
        <v>204</v>
      </c>
      <c r="B176" s="31">
        <f t="shared" si="15"/>
        <v>145919170638.12332</v>
      </c>
      <c r="C176" s="31">
        <f ca="1">IFERROR(__xludf.DUMMYFUNCTION("IFERROR(STDEV.S(FILTER(M176:O176, M176:O176&lt;&gt;"""")))"),796103423.894022)</f>
        <v>796103423.89402199</v>
      </c>
      <c r="D176" s="49">
        <v>5.4557836399999997E-3</v>
      </c>
      <c r="E176" s="16"/>
      <c r="F176" s="16">
        <v>2163.33</v>
      </c>
      <c r="G176" s="16">
        <v>2163</v>
      </c>
      <c r="H176" s="39">
        <v>2244.1</v>
      </c>
      <c r="I176" s="42">
        <v>172861</v>
      </c>
      <c r="K176" s="7">
        <v>64602300</v>
      </c>
      <c r="L176" s="7">
        <v>67668789</v>
      </c>
      <c r="N176" s="7">
        <f t="shared" si="16"/>
        <v>146389921307.37</v>
      </c>
      <c r="O176" s="7">
        <f t="shared" si="17"/>
        <v>146367590607</v>
      </c>
      <c r="P176" s="41">
        <v>145000000000</v>
      </c>
    </row>
    <row r="177" spans="1:16" ht="28" x14ac:dyDescent="0.15">
      <c r="A177" s="7" t="s">
        <v>275</v>
      </c>
      <c r="B177" s="31">
        <f t="shared" si="15"/>
        <v>2857932750367.2334</v>
      </c>
      <c r="C177" s="31">
        <f ca="1">IFERROR(__xludf.DUMMYFUNCTION("IFERROR(STDEV.S(FILTER(M177:O177, M177:O177&lt;&gt;"""")))"),50171259474.97)</f>
        <v>50171259474.970001</v>
      </c>
      <c r="D177" s="49">
        <v>1.7555087489999999E-2</v>
      </c>
      <c r="E177" s="16"/>
      <c r="F177" s="16">
        <v>8486.7000000000007</v>
      </c>
      <c r="G177" s="16">
        <v>8487</v>
      </c>
      <c r="H177" s="39">
        <v>8844.2999999999993</v>
      </c>
      <c r="I177" s="40"/>
      <c r="K177" s="7">
        <v>318386330</v>
      </c>
      <c r="L177" s="7">
        <v>340161441</v>
      </c>
      <c r="N177" s="7">
        <f t="shared" si="16"/>
        <v>2886848101334.7002</v>
      </c>
      <c r="O177" s="7">
        <f t="shared" si="17"/>
        <v>2886950149767</v>
      </c>
      <c r="P177" s="41">
        <v>2800000000000</v>
      </c>
    </row>
    <row r="178" spans="1:16" ht="14" x14ac:dyDescent="0.15">
      <c r="A178" s="7" t="s">
        <v>206</v>
      </c>
      <c r="B178" s="31">
        <f t="shared" si="15"/>
        <v>92199905732.253342</v>
      </c>
      <c r="C178" s="31">
        <f ca="1">IFERROR(__xludf.DUMMYFUNCTION("IFERROR(STDEV.S(FILTER(M178:O178, M178:O178&lt;&gt;"""")))"),96232.7764726835)</f>
        <v>96232.776472683501</v>
      </c>
      <c r="D178" s="49">
        <v>1.043740508E-6</v>
      </c>
      <c r="E178" s="16"/>
      <c r="F178" s="16">
        <v>27144.03</v>
      </c>
      <c r="G178" s="16">
        <v>27144</v>
      </c>
      <c r="H178" s="39">
        <v>26962.6</v>
      </c>
      <c r="I178" s="40"/>
      <c r="K178" s="7">
        <v>3356330</v>
      </c>
      <c r="L178" s="7">
        <v>3396692</v>
      </c>
      <c r="N178" s="7">
        <f t="shared" si="16"/>
        <v>92199909548.759995</v>
      </c>
      <c r="O178" s="7">
        <f t="shared" si="17"/>
        <v>92199807648</v>
      </c>
      <c r="P178" s="41">
        <v>92200000000</v>
      </c>
    </row>
    <row r="179" spans="1:16" ht="14" x14ac:dyDescent="0.15">
      <c r="A179" s="7" t="s">
        <v>207</v>
      </c>
      <c r="B179" s="31">
        <f t="shared" si="15"/>
        <v>16324769137.440001</v>
      </c>
      <c r="C179" s="31">
        <f ca="1">IFERROR(__xludf.DUMMYFUNCTION("IFERROR(STDEV.S(FILTER(M179:O179, M179:O179&lt;&gt;"""")))"),21647283.5261711)</f>
        <v>21647283.526171099</v>
      </c>
      <c r="D179" s="49">
        <v>1.3260391829999999E-3</v>
      </c>
      <c r="E179" s="7"/>
      <c r="F179" s="7">
        <v>477.17</v>
      </c>
      <c r="G179" s="7">
        <v>477</v>
      </c>
      <c r="H179" s="38">
        <v>531.20000000000005</v>
      </c>
      <c r="I179" s="40"/>
      <c r="K179" s="7">
        <v>30222990</v>
      </c>
      <c r="L179" s="7">
        <v>34243696</v>
      </c>
      <c r="N179" s="7">
        <f t="shared" si="16"/>
        <v>16340064420.32</v>
      </c>
      <c r="O179" s="7">
        <f t="shared" si="17"/>
        <v>16334242992</v>
      </c>
      <c r="P179" s="41">
        <v>16300000000</v>
      </c>
    </row>
    <row r="180" spans="1:16" ht="14" x14ac:dyDescent="0.15">
      <c r="A180" s="7" t="s">
        <v>208</v>
      </c>
      <c r="B180" s="31">
        <f t="shared" si="15"/>
        <v>10000342887.573334</v>
      </c>
      <c r="C180" s="31">
        <f ca="1">IFERROR(__xludf.DUMMYFUNCTION("IFERROR(STDEV.S(FILTER(M180:O180, M180:O180&lt;&gt;"""")))"),297955.916507843)</f>
        <v>297955.91650784301</v>
      </c>
      <c r="D180" s="49">
        <v>2.9794570029999998E-5</v>
      </c>
      <c r="E180" s="16"/>
      <c r="F180" s="16">
        <v>32693.84</v>
      </c>
      <c r="G180" s="16">
        <v>32694</v>
      </c>
      <c r="H180" s="39">
        <v>38632.400000000001</v>
      </c>
      <c r="I180" s="40"/>
      <c r="K180" s="7">
        <v>260240</v>
      </c>
      <c r="L180" s="7">
        <v>305883</v>
      </c>
      <c r="N180" s="7">
        <f t="shared" si="16"/>
        <v>10000489860.719999</v>
      </c>
      <c r="O180" s="7">
        <f t="shared" si="17"/>
        <v>10000538802</v>
      </c>
      <c r="P180" s="41">
        <v>10000000000</v>
      </c>
    </row>
    <row r="181" spans="1:16" ht="14" x14ac:dyDescent="0.15">
      <c r="A181" s="7" t="s">
        <v>209</v>
      </c>
      <c r="B181" s="31">
        <f t="shared" si="15"/>
        <v>805001406333.22009</v>
      </c>
      <c r="C181" s="31">
        <f ca="1">IFERROR(__xludf.DUMMYFUNCTION("IFERROR(STDEV.S(FILTER(M181:O181, M181:O181&lt;&gt;"""")))"),2321738.10585638)</f>
        <v>2321738.10585638</v>
      </c>
      <c r="D181" s="49">
        <v>2.8841416769999999E-6</v>
      </c>
      <c r="E181" s="16"/>
      <c r="F181" s="16">
        <v>28507.86</v>
      </c>
      <c r="G181" s="16">
        <v>28508</v>
      </c>
      <c r="H181" s="39">
        <v>26188.799999999999</v>
      </c>
      <c r="I181" s="40"/>
      <c r="K181" s="7">
        <v>30254080</v>
      </c>
      <c r="L181" s="7">
        <v>28237831</v>
      </c>
      <c r="N181" s="7">
        <f t="shared" si="16"/>
        <v>805000132851.66003</v>
      </c>
      <c r="O181" s="7">
        <f t="shared" si="17"/>
        <v>805004086148</v>
      </c>
      <c r="P181" s="41">
        <v>805000000000</v>
      </c>
    </row>
    <row r="182" spans="1:16" ht="14" x14ac:dyDescent="0.15">
      <c r="A182" s="7" t="s">
        <v>210</v>
      </c>
      <c r="B182" s="31">
        <f t="shared" si="15"/>
        <v>359417187001.63</v>
      </c>
      <c r="C182" s="31">
        <f ca="1">IFERROR(__xludf.DUMMYFUNCTION("IFERROR(STDEV.S(FILTER(M182:O182, M182:O182&lt;&gt;"""")))"),15847836.9267591)</f>
        <v>15847836.9267591</v>
      </c>
      <c r="D182" s="49">
        <v>4.4093152749999999E-5</v>
      </c>
      <c r="E182" s="16"/>
      <c r="F182" s="16">
        <v>3632.89</v>
      </c>
      <c r="G182" s="16">
        <v>3633</v>
      </c>
      <c r="H182" s="39">
        <v>3883.5</v>
      </c>
      <c r="I182" s="40"/>
      <c r="K182" s="7">
        <v>91679580</v>
      </c>
      <c r="L182" s="7">
        <v>98935101</v>
      </c>
      <c r="N182" s="7">
        <f t="shared" si="16"/>
        <v>359420339071.89001</v>
      </c>
      <c r="O182" s="7">
        <f t="shared" si="17"/>
        <v>359431221933</v>
      </c>
      <c r="P182" s="41">
        <v>359400000000</v>
      </c>
    </row>
    <row r="183" spans="1:16" ht="14" x14ac:dyDescent="0.15">
      <c r="A183" s="7" t="s">
        <v>211</v>
      </c>
      <c r="B183" s="31">
        <f t="shared" si="15"/>
        <v>2105634018.2733333</v>
      </c>
      <c r="C183" s="31">
        <f ca="1">IFERROR(__xludf.DUMMYFUNCTION("IFERROR(STDEV.S(FILTER(M183:O183, M183:O183&lt;&gt;"""")))"),9837515.83602585)</f>
        <v>9837515.8360258508</v>
      </c>
      <c r="D183" s="49">
        <v>4.6719970090000002E-3</v>
      </c>
      <c r="E183" s="7"/>
      <c r="F183" s="7">
        <v>56.54</v>
      </c>
      <c r="G183" s="7">
        <v>57</v>
      </c>
      <c r="H183" s="38">
        <v>80</v>
      </c>
      <c r="I183" s="40"/>
      <c r="K183" s="7">
        <v>30226310</v>
      </c>
      <c r="L183" s="7">
        <v>37140233</v>
      </c>
      <c r="N183" s="7">
        <f t="shared" si="16"/>
        <v>2099908773.8199999</v>
      </c>
      <c r="O183" s="7">
        <f t="shared" si="17"/>
        <v>2116993281</v>
      </c>
      <c r="P183" s="41">
        <v>2100000000</v>
      </c>
    </row>
    <row r="184" spans="1:16" ht="14" x14ac:dyDescent="0.15">
      <c r="A184" s="7" t="s">
        <v>212</v>
      </c>
      <c r="B184" s="31">
        <f t="shared" si="15"/>
        <v>80199435102.933334</v>
      </c>
      <c r="C184" s="31">
        <f ca="1">IFERROR(__xludf.DUMMYFUNCTION("IFERROR(STDEV.S(FILTER(M184:O184, M184:O184&lt;&gt;"""")))"),924236.962037072)</f>
        <v>924236.96203707205</v>
      </c>
      <c r="D184" s="49">
        <v>1.1524232820000001E-5</v>
      </c>
      <c r="E184" s="16"/>
      <c r="F184" s="16">
        <v>4091.08</v>
      </c>
      <c r="G184" s="16">
        <v>4091</v>
      </c>
      <c r="H184" s="39">
        <v>5134.1000000000004</v>
      </c>
      <c r="I184" s="40"/>
      <c r="K184" s="7">
        <v>15895320</v>
      </c>
      <c r="L184" s="7">
        <v>19603610</v>
      </c>
      <c r="N184" s="7">
        <f t="shared" si="16"/>
        <v>80199936798.800003</v>
      </c>
      <c r="O184" s="7">
        <f t="shared" si="17"/>
        <v>80198368510</v>
      </c>
      <c r="P184" s="41">
        <v>80200000000</v>
      </c>
    </row>
    <row r="185" spans="1:16" ht="14" x14ac:dyDescent="0.15">
      <c r="A185" s="7" t="s">
        <v>213</v>
      </c>
      <c r="B185" s="31">
        <f t="shared" si="15"/>
        <v>12272902396.6</v>
      </c>
      <c r="C185" s="31">
        <f ca="1">IFERROR(__xludf.DUMMYFUNCTION("IFERROR(STDEV.S(FILTER(M185:O185, M185:O185&lt;&gt;"""")))"),23477977.4606159)</f>
        <v>23477977.460615899</v>
      </c>
      <c r="D185" s="49">
        <v>1.9129930890000001E-3</v>
      </c>
      <c r="E185" s="7"/>
      <c r="F185" s="7">
        <v>776.09</v>
      </c>
      <c r="G185" s="7">
        <v>776</v>
      </c>
      <c r="H185" s="38">
        <v>795.5</v>
      </c>
      <c r="I185" s="40"/>
      <c r="K185" s="7">
        <v>14207360</v>
      </c>
      <c r="L185" s="7">
        <v>15797220</v>
      </c>
      <c r="N185" s="7">
        <f t="shared" si="16"/>
        <v>12260064469.800001</v>
      </c>
      <c r="O185" s="7">
        <f t="shared" si="17"/>
        <v>12258642720</v>
      </c>
      <c r="P185" s="41">
        <v>12300000000</v>
      </c>
    </row>
    <row r="186" spans="1:16" ht="13" x14ac:dyDescent="0.15"/>
    <row r="187" spans="1:16" ht="13" x14ac:dyDescent="0.15"/>
    <row r="188" spans="1:16" ht="13" x14ac:dyDescent="0.15"/>
    <row r="189" spans="1:16" ht="13" x14ac:dyDescent="0.15"/>
    <row r="190" spans="1:16" ht="13" x14ac:dyDescent="0.15"/>
    <row r="191" spans="1:16" ht="13" x14ac:dyDescent="0.15"/>
    <row r="192" spans="1:16" ht="13" x14ac:dyDescent="0.15"/>
    <row r="193" spans="1:15" ht="13" x14ac:dyDescent="0.15"/>
    <row r="194" spans="1:15" ht="13" x14ac:dyDescent="0.15"/>
    <row r="195" spans="1:15" ht="13" x14ac:dyDescent="0.15">
      <c r="A195" s="7"/>
      <c r="B195" s="31"/>
      <c r="C195" s="31"/>
      <c r="D195" s="31"/>
      <c r="E195" s="7"/>
      <c r="F195" s="7"/>
      <c r="H195" s="38"/>
      <c r="I195" s="40"/>
      <c r="K195" s="7"/>
      <c r="L195" s="7"/>
      <c r="N195" s="7"/>
      <c r="O195" s="7"/>
    </row>
    <row r="196" spans="1:15" ht="13" x14ac:dyDescent="0.15">
      <c r="A196" s="7"/>
      <c r="B196" s="31"/>
      <c r="C196" s="31"/>
      <c r="D196" s="31"/>
      <c r="E196" s="7"/>
      <c r="F196" s="7"/>
      <c r="H196" s="38"/>
      <c r="I196" s="40"/>
      <c r="K196" s="7"/>
      <c r="N196" s="7"/>
      <c r="O196" s="7"/>
    </row>
    <row r="197" spans="1:15" ht="13" x14ac:dyDescent="0.15">
      <c r="A197" s="7"/>
      <c r="B197" s="31"/>
      <c r="C197" s="31"/>
      <c r="D197" s="31"/>
      <c r="E197" s="7"/>
      <c r="F197" s="7"/>
      <c r="H197" s="38"/>
      <c r="I197" s="40"/>
      <c r="K197" s="7"/>
      <c r="N197" s="7"/>
      <c r="O197" s="7"/>
    </row>
    <row r="198" spans="1:15" ht="13" x14ac:dyDescent="0.15">
      <c r="A198" s="7"/>
      <c r="B198" s="31"/>
      <c r="C198" s="31"/>
      <c r="D198" s="31"/>
      <c r="E198" s="7"/>
      <c r="F198" s="7"/>
      <c r="H198" s="38"/>
      <c r="I198" s="40"/>
      <c r="K198" s="7"/>
      <c r="N198" s="7"/>
      <c r="O198" s="7"/>
    </row>
    <row r="199" spans="1:15" ht="13" x14ac:dyDescent="0.15">
      <c r="A199" s="7"/>
      <c r="B199" s="31"/>
      <c r="C199" s="31"/>
      <c r="D199" s="31"/>
      <c r="E199" s="7"/>
      <c r="F199" s="7"/>
      <c r="H199" s="38"/>
      <c r="I199" s="40"/>
      <c r="K199" s="7"/>
      <c r="N199" s="7"/>
      <c r="O199" s="7"/>
    </row>
    <row r="200" spans="1:15" ht="13" x14ac:dyDescent="0.15">
      <c r="A200" s="7"/>
      <c r="B200" s="31"/>
      <c r="C200" s="31"/>
      <c r="D200" s="31"/>
      <c r="E200" s="7"/>
      <c r="F200" s="7"/>
      <c r="H200" s="38"/>
      <c r="I200" s="40"/>
      <c r="K200" s="7"/>
      <c r="N200" s="7"/>
      <c r="O200" s="7"/>
    </row>
    <row r="201" spans="1:15" ht="13" x14ac:dyDescent="0.15">
      <c r="A201" s="7"/>
      <c r="B201" s="31"/>
      <c r="C201" s="31"/>
      <c r="D201" s="31"/>
      <c r="E201" s="7"/>
      <c r="F201" s="7"/>
      <c r="H201" s="38"/>
      <c r="I201" s="40"/>
      <c r="K201" s="7"/>
      <c r="N201" s="7"/>
      <c r="O201" s="7"/>
    </row>
    <row r="202" spans="1:15" ht="13" x14ac:dyDescent="0.15">
      <c r="A202" s="7"/>
      <c r="B202" s="31"/>
      <c r="C202" s="31"/>
      <c r="D202" s="31"/>
      <c r="E202" s="7"/>
      <c r="F202" s="7"/>
      <c r="H202" s="38"/>
      <c r="I202" s="40"/>
      <c r="K202" s="7"/>
      <c r="N202" s="7"/>
      <c r="O202" s="7"/>
    </row>
    <row r="203" spans="1:15" ht="13" x14ac:dyDescent="0.15">
      <c r="A203" s="7"/>
      <c r="B203" s="31"/>
      <c r="C203" s="31"/>
      <c r="D203" s="31"/>
      <c r="E203" s="7"/>
      <c r="F203" s="7"/>
      <c r="H203" s="38"/>
      <c r="I203" s="40"/>
      <c r="K203" s="7"/>
      <c r="N203" s="7"/>
      <c r="O203" s="7"/>
    </row>
    <row r="204" spans="1:15" ht="13" x14ac:dyDescent="0.15">
      <c r="A204" s="7"/>
      <c r="B204" s="31"/>
      <c r="C204" s="31"/>
      <c r="D204" s="31"/>
      <c r="E204" s="7"/>
      <c r="F204" s="7"/>
      <c r="H204" s="38"/>
      <c r="I204" s="40"/>
      <c r="K204" s="7"/>
      <c r="N204" s="7"/>
      <c r="O204" s="7"/>
    </row>
    <row r="205" spans="1:15" ht="13" x14ac:dyDescent="0.15">
      <c r="A205" s="7"/>
      <c r="B205" s="31"/>
      <c r="C205" s="31"/>
      <c r="D205" s="31"/>
      <c r="E205" s="7"/>
      <c r="F205" s="7"/>
      <c r="H205" s="38"/>
      <c r="I205" s="40"/>
      <c r="K205" s="7"/>
      <c r="N205" s="7"/>
      <c r="O205" s="7"/>
    </row>
    <row r="206" spans="1:15" ht="13" x14ac:dyDescent="0.15">
      <c r="A206" s="7"/>
      <c r="B206" s="31"/>
      <c r="C206" s="31"/>
      <c r="D206" s="31"/>
      <c r="E206" s="7"/>
      <c r="F206" s="7"/>
      <c r="H206" s="38"/>
      <c r="I206" s="40"/>
      <c r="K206" s="7"/>
      <c r="N206" s="7"/>
      <c r="O206" s="7"/>
    </row>
    <row r="207" spans="1:15" ht="13" x14ac:dyDescent="0.15">
      <c r="A207" s="7"/>
      <c r="B207" s="31"/>
      <c r="C207" s="31"/>
      <c r="D207" s="31"/>
      <c r="E207" s="7"/>
      <c r="F207" s="7"/>
      <c r="H207" s="38"/>
      <c r="I207" s="40"/>
      <c r="K207" s="7"/>
      <c r="N207" s="7"/>
      <c r="O207" s="7"/>
    </row>
    <row r="208" spans="1:15" ht="13" x14ac:dyDescent="0.15">
      <c r="A208" s="7"/>
      <c r="B208" s="31"/>
      <c r="C208" s="31"/>
      <c r="D208" s="31"/>
      <c r="E208" s="7"/>
      <c r="F208" s="7"/>
      <c r="H208" s="38"/>
      <c r="I208" s="40"/>
      <c r="K208" s="7"/>
      <c r="N208" s="7"/>
      <c r="O208" s="7"/>
    </row>
    <row r="209" spans="1:15" ht="13" x14ac:dyDescent="0.15">
      <c r="A209" s="7"/>
      <c r="B209" s="31"/>
      <c r="C209" s="31"/>
      <c r="D209" s="31"/>
      <c r="E209" s="7"/>
      <c r="F209" s="7"/>
      <c r="H209" s="38"/>
      <c r="I209" s="40"/>
      <c r="K209" s="7"/>
      <c r="N209" s="7"/>
      <c r="O209" s="7"/>
    </row>
    <row r="210" spans="1:15" ht="13" x14ac:dyDescent="0.15">
      <c r="A210" s="7"/>
      <c r="B210" s="31"/>
      <c r="C210" s="31"/>
      <c r="D210" s="31"/>
      <c r="E210" s="7"/>
      <c r="F210" s="7"/>
      <c r="H210" s="38"/>
      <c r="I210" s="40"/>
      <c r="K210" s="7"/>
      <c r="N210" s="7"/>
      <c r="O210" s="7"/>
    </row>
    <row r="211" spans="1:15" ht="13" x14ac:dyDescent="0.15">
      <c r="A211" s="7"/>
      <c r="B211" s="31"/>
      <c r="C211" s="31"/>
      <c r="D211" s="31"/>
      <c r="E211" s="7"/>
      <c r="F211" s="7"/>
      <c r="H211" s="38"/>
      <c r="I211" s="40"/>
      <c r="K211" s="7"/>
      <c r="N211" s="7"/>
      <c r="O211" s="7"/>
    </row>
    <row r="212" spans="1:15" ht="13" x14ac:dyDescent="0.15">
      <c r="A212" s="7"/>
      <c r="B212" s="31"/>
      <c r="C212" s="31"/>
      <c r="D212" s="31"/>
      <c r="E212" s="7"/>
      <c r="F212" s="7"/>
      <c r="H212" s="38"/>
      <c r="I212" s="40"/>
      <c r="K212" s="7"/>
      <c r="N212" s="7"/>
      <c r="O212" s="7"/>
    </row>
    <row r="213" spans="1:15" ht="13" x14ac:dyDescent="0.15">
      <c r="A213" s="7"/>
      <c r="B213" s="31"/>
      <c r="C213" s="31"/>
      <c r="D213" s="31"/>
      <c r="E213" s="7"/>
      <c r="F213" s="7"/>
      <c r="H213" s="38"/>
      <c r="I213" s="40"/>
      <c r="K213" s="7"/>
      <c r="N213" s="7"/>
      <c r="O213" s="7"/>
    </row>
    <row r="214" spans="1:15" ht="13" x14ac:dyDescent="0.15">
      <c r="A214" s="7"/>
      <c r="B214" s="31"/>
      <c r="C214" s="31"/>
      <c r="D214" s="31"/>
      <c r="E214" s="7"/>
      <c r="F214" s="7"/>
      <c r="H214" s="38"/>
      <c r="I214" s="40"/>
      <c r="K214" s="7"/>
      <c r="N214" s="7"/>
      <c r="O214" s="7"/>
    </row>
    <row r="215" spans="1:15" ht="13" x14ac:dyDescent="0.15">
      <c r="A215" s="7"/>
      <c r="B215" s="31"/>
      <c r="C215" s="31"/>
      <c r="D215" s="31"/>
      <c r="E215" s="7"/>
      <c r="F215" s="7"/>
      <c r="H215" s="38"/>
      <c r="I215" s="40"/>
      <c r="K215" s="7"/>
      <c r="N215" s="7"/>
      <c r="O215" s="7"/>
    </row>
    <row r="216" spans="1:15" ht="13" x14ac:dyDescent="0.15">
      <c r="A216" s="7"/>
      <c r="B216" s="31"/>
      <c r="C216" s="31"/>
      <c r="D216" s="31"/>
      <c r="E216" s="7"/>
      <c r="F216" s="7"/>
      <c r="H216" s="38"/>
      <c r="I216" s="40"/>
      <c r="K216" s="7"/>
      <c r="N216" s="7"/>
      <c r="O216" s="7"/>
    </row>
    <row r="217" spans="1:15" ht="13" x14ac:dyDescent="0.15">
      <c r="A217" s="7"/>
      <c r="B217" s="31"/>
      <c r="C217" s="31"/>
      <c r="D217" s="31"/>
      <c r="E217" s="7"/>
      <c r="F217" s="7"/>
      <c r="H217" s="38"/>
      <c r="I217" s="40"/>
      <c r="K217" s="7"/>
      <c r="N217" s="7"/>
      <c r="O217" s="7"/>
    </row>
    <row r="218" spans="1:15" ht="13" x14ac:dyDescent="0.15">
      <c r="A218" s="7"/>
      <c r="B218" s="31"/>
      <c r="C218" s="31"/>
      <c r="D218" s="31"/>
      <c r="E218" s="7"/>
      <c r="F218" s="7"/>
      <c r="H218" s="38"/>
      <c r="I218" s="40"/>
      <c r="K218" s="7"/>
      <c r="N218" s="7"/>
      <c r="O218" s="7"/>
    </row>
    <row r="219" spans="1:15" ht="13" x14ac:dyDescent="0.15">
      <c r="A219" s="7"/>
      <c r="B219" s="31"/>
      <c r="C219" s="31"/>
      <c r="D219" s="31"/>
      <c r="E219" s="7"/>
      <c r="F219" s="7"/>
      <c r="H219" s="38"/>
      <c r="I219" s="40"/>
      <c r="K219" s="7"/>
      <c r="N219" s="7"/>
      <c r="O219" s="7"/>
    </row>
    <row r="220" spans="1:15" ht="13" x14ac:dyDescent="0.15">
      <c r="A220" s="7"/>
      <c r="B220" s="31"/>
      <c r="C220" s="31"/>
      <c r="D220" s="31"/>
      <c r="E220" s="7"/>
      <c r="F220" s="7"/>
      <c r="H220" s="38"/>
      <c r="I220" s="40"/>
      <c r="K220" s="7"/>
      <c r="N220" s="7"/>
      <c r="O220" s="7"/>
    </row>
    <row r="221" spans="1:15" ht="13" x14ac:dyDescent="0.15">
      <c r="A221" s="7"/>
      <c r="B221" s="31"/>
      <c r="C221" s="31"/>
      <c r="D221" s="31"/>
      <c r="E221" s="7"/>
      <c r="F221" s="7"/>
      <c r="H221" s="38"/>
      <c r="I221" s="40"/>
      <c r="K221" s="7"/>
      <c r="N221" s="7"/>
      <c r="O221" s="7"/>
    </row>
    <row r="222" spans="1:15" ht="13" x14ac:dyDescent="0.15">
      <c r="A222" s="7"/>
      <c r="B222" s="31"/>
      <c r="C222" s="31"/>
      <c r="D222" s="31"/>
      <c r="E222" s="7"/>
      <c r="F222" s="7"/>
      <c r="H222" s="38"/>
      <c r="I222" s="40"/>
      <c r="K222" s="7"/>
      <c r="N222" s="7"/>
      <c r="O222" s="7"/>
    </row>
    <row r="223" spans="1:15" ht="13" x14ac:dyDescent="0.15">
      <c r="A223" s="7"/>
      <c r="B223" s="31"/>
      <c r="C223" s="31"/>
      <c r="D223" s="31"/>
      <c r="E223" s="7"/>
      <c r="F223" s="7"/>
      <c r="H223" s="38"/>
      <c r="I223" s="40"/>
      <c r="K223" s="7"/>
      <c r="N223" s="7"/>
      <c r="O223" s="7"/>
    </row>
    <row r="224" spans="1:15" ht="13" x14ac:dyDescent="0.15">
      <c r="A224" s="7"/>
      <c r="B224" s="31"/>
      <c r="C224" s="31"/>
      <c r="D224" s="31"/>
      <c r="E224" s="7"/>
      <c r="F224" s="7"/>
      <c r="H224" s="38"/>
      <c r="I224" s="40"/>
      <c r="K224" s="7"/>
      <c r="N224" s="7"/>
      <c r="O224" s="7"/>
    </row>
    <row r="225" spans="1:15" ht="13" x14ac:dyDescent="0.15">
      <c r="A225" s="7"/>
      <c r="B225" s="31"/>
      <c r="C225" s="31"/>
      <c r="D225" s="31"/>
      <c r="E225" s="7"/>
      <c r="F225" s="7"/>
      <c r="H225" s="38"/>
      <c r="I225" s="40"/>
      <c r="K225" s="7"/>
      <c r="N225" s="7"/>
      <c r="O225" s="7"/>
    </row>
    <row r="226" spans="1:15" ht="13" x14ac:dyDescent="0.15">
      <c r="A226" s="7"/>
      <c r="B226" s="31"/>
      <c r="C226" s="31"/>
      <c r="D226" s="31"/>
      <c r="E226" s="7"/>
      <c r="F226" s="7"/>
      <c r="H226" s="38"/>
      <c r="I226" s="40"/>
      <c r="K226" s="7"/>
      <c r="N226" s="7"/>
      <c r="O226" s="7"/>
    </row>
    <row r="227" spans="1:15" ht="13" x14ac:dyDescent="0.15">
      <c r="A227" s="7"/>
      <c r="B227" s="31"/>
      <c r="C227" s="31"/>
      <c r="D227" s="31"/>
      <c r="E227" s="7"/>
      <c r="F227" s="7"/>
      <c r="H227" s="38"/>
      <c r="I227" s="40"/>
      <c r="K227" s="7"/>
      <c r="N227" s="7"/>
      <c r="O227" s="7"/>
    </row>
    <row r="228" spans="1:15" ht="13" x14ac:dyDescent="0.15">
      <c r="A228" s="7"/>
      <c r="B228" s="31"/>
      <c r="C228" s="31"/>
      <c r="D228" s="31"/>
      <c r="E228" s="7"/>
      <c r="F228" s="7"/>
      <c r="H228" s="38"/>
      <c r="I228" s="40"/>
      <c r="K228" s="7"/>
      <c r="N228" s="7"/>
      <c r="O228" s="7"/>
    </row>
    <row r="229" spans="1:15" ht="13" x14ac:dyDescent="0.15">
      <c r="A229" s="7"/>
      <c r="B229" s="31"/>
      <c r="C229" s="31"/>
      <c r="D229" s="31"/>
      <c r="E229" s="7"/>
      <c r="F229" s="7"/>
      <c r="H229" s="38"/>
      <c r="I229" s="40"/>
      <c r="K229" s="7"/>
      <c r="N229" s="7"/>
      <c r="O229" s="7"/>
    </row>
    <row r="230" spans="1:15" ht="13" x14ac:dyDescent="0.15">
      <c r="A230" s="7"/>
      <c r="B230" s="31"/>
      <c r="C230" s="31"/>
      <c r="D230" s="31"/>
      <c r="E230" s="7"/>
      <c r="F230" s="7"/>
      <c r="H230" s="38"/>
      <c r="I230" s="40"/>
      <c r="K230" s="7"/>
      <c r="N230" s="7"/>
      <c r="O230" s="7"/>
    </row>
    <row r="231" spans="1:15" ht="13" x14ac:dyDescent="0.15">
      <c r="A231" s="7"/>
      <c r="B231" s="31"/>
      <c r="C231" s="31"/>
      <c r="D231" s="31"/>
      <c r="E231" s="7"/>
      <c r="F231" s="7"/>
      <c r="H231" s="38"/>
      <c r="I231" s="40"/>
      <c r="K231" s="7"/>
      <c r="N231" s="7"/>
      <c r="O231" s="7"/>
    </row>
    <row r="232" spans="1:15" ht="13" x14ac:dyDescent="0.15">
      <c r="A232" s="7"/>
      <c r="B232" s="31"/>
      <c r="C232" s="31"/>
      <c r="D232" s="31"/>
      <c r="E232" s="7"/>
      <c r="F232" s="7"/>
      <c r="H232" s="38"/>
      <c r="I232" s="40"/>
      <c r="K232" s="7"/>
      <c r="N232" s="7"/>
      <c r="O232" s="7"/>
    </row>
    <row r="233" spans="1:15" ht="13" x14ac:dyDescent="0.15">
      <c r="A233" s="7"/>
      <c r="B233" s="31"/>
      <c r="C233" s="31"/>
      <c r="D233" s="31"/>
      <c r="E233" s="7"/>
      <c r="F233" s="7"/>
      <c r="H233" s="38"/>
      <c r="I233" s="40"/>
      <c r="K233" s="7"/>
      <c r="N233" s="7"/>
      <c r="O233" s="7"/>
    </row>
    <row r="234" spans="1:15" ht="13" x14ac:dyDescent="0.15">
      <c r="A234" s="7"/>
      <c r="B234" s="31"/>
      <c r="C234" s="31"/>
      <c r="D234" s="31"/>
      <c r="E234" s="7"/>
      <c r="F234" s="7"/>
      <c r="H234" s="38"/>
      <c r="I234" s="40"/>
      <c r="K234" s="7"/>
      <c r="N234" s="7"/>
      <c r="O234" s="7"/>
    </row>
    <row r="235" spans="1:15" ht="13" x14ac:dyDescent="0.15">
      <c r="A235" s="7"/>
      <c r="B235" s="31"/>
      <c r="C235" s="31"/>
      <c r="D235" s="31"/>
      <c r="E235" s="7"/>
      <c r="F235" s="7"/>
      <c r="H235" s="38"/>
      <c r="I235" s="40"/>
      <c r="K235" s="7"/>
      <c r="N235" s="7"/>
      <c r="O235" s="7"/>
    </row>
    <row r="236" spans="1:15" ht="13" x14ac:dyDescent="0.15">
      <c r="A236" s="7"/>
      <c r="B236" s="31"/>
      <c r="C236" s="31"/>
      <c r="D236" s="31"/>
      <c r="E236" s="7"/>
      <c r="F236" s="7"/>
      <c r="H236" s="38"/>
      <c r="I236" s="40"/>
      <c r="K236" s="7"/>
      <c r="N236" s="7"/>
      <c r="O236" s="7"/>
    </row>
    <row r="237" spans="1:15" ht="13" x14ac:dyDescent="0.15">
      <c r="A237" s="7"/>
      <c r="B237" s="31"/>
      <c r="C237" s="31"/>
      <c r="D237" s="31"/>
      <c r="E237" s="7"/>
      <c r="F237" s="7"/>
      <c r="H237" s="38"/>
      <c r="I237" s="40"/>
      <c r="K237" s="7"/>
      <c r="N237" s="7"/>
      <c r="O237" s="7"/>
    </row>
    <row r="238" spans="1:15" ht="13" x14ac:dyDescent="0.15">
      <c r="A238" s="7"/>
      <c r="B238" s="31"/>
      <c r="C238" s="31"/>
      <c r="D238" s="31"/>
      <c r="E238" s="7"/>
      <c r="F238" s="7"/>
      <c r="H238" s="38"/>
      <c r="I238" s="40"/>
      <c r="K238" s="7"/>
      <c r="N238" s="7"/>
      <c r="O238" s="7"/>
    </row>
    <row r="239" spans="1:15" ht="13" x14ac:dyDescent="0.15">
      <c r="A239" s="7"/>
      <c r="B239" s="31"/>
      <c r="C239" s="31"/>
      <c r="D239" s="31"/>
      <c r="E239" s="7"/>
      <c r="F239" s="7"/>
      <c r="H239" s="38"/>
      <c r="I239" s="40"/>
      <c r="K239" s="7"/>
      <c r="N239" s="7"/>
      <c r="O239" s="7"/>
    </row>
    <row r="240" spans="1:15" ht="13" x14ac:dyDescent="0.15">
      <c r="A240" s="7"/>
      <c r="B240" s="31"/>
      <c r="C240" s="31"/>
      <c r="D240" s="31"/>
      <c r="E240" s="7"/>
      <c r="F240" s="7"/>
      <c r="H240" s="38"/>
      <c r="I240" s="40"/>
      <c r="K240" s="7"/>
      <c r="N240" s="7"/>
      <c r="O240" s="7"/>
    </row>
    <row r="241" spans="1:15" ht="13" x14ac:dyDescent="0.15">
      <c r="A241" s="7"/>
      <c r="B241" s="31"/>
      <c r="C241" s="31"/>
      <c r="D241" s="31"/>
      <c r="E241" s="7"/>
      <c r="F241" s="7"/>
      <c r="H241" s="38"/>
      <c r="I241" s="40"/>
      <c r="K241" s="7"/>
      <c r="N241" s="7"/>
      <c r="O241" s="7"/>
    </row>
    <row r="242" spans="1:15" ht="13" x14ac:dyDescent="0.15">
      <c r="A242" s="7"/>
      <c r="B242" s="31"/>
      <c r="C242" s="31"/>
      <c r="D242" s="31"/>
      <c r="E242" s="7"/>
      <c r="F242" s="7"/>
      <c r="H242" s="38"/>
      <c r="I242" s="40"/>
      <c r="K242" s="7"/>
      <c r="N242" s="7"/>
      <c r="O242" s="7"/>
    </row>
    <row r="243" spans="1:15" ht="13" x14ac:dyDescent="0.15">
      <c r="A243" s="7"/>
      <c r="B243" s="31"/>
      <c r="C243" s="31"/>
      <c r="D243" s="31"/>
      <c r="E243" s="7"/>
      <c r="F243" s="7"/>
      <c r="H243" s="38"/>
      <c r="I243" s="40"/>
      <c r="K243" s="7"/>
      <c r="N243" s="7"/>
      <c r="O243" s="7"/>
    </row>
    <row r="244" spans="1:15" ht="13" x14ac:dyDescent="0.15">
      <c r="A244" s="7"/>
      <c r="B244" s="31"/>
      <c r="C244" s="31"/>
      <c r="D244" s="31"/>
      <c r="E244" s="7"/>
      <c r="F244" s="7"/>
      <c r="H244" s="38"/>
      <c r="I244" s="40"/>
      <c r="K244" s="7"/>
      <c r="N244" s="7"/>
      <c r="O244" s="7"/>
    </row>
    <row r="245" spans="1:15" ht="13" x14ac:dyDescent="0.15">
      <c r="A245" s="7"/>
      <c r="B245" s="31"/>
      <c r="C245" s="31"/>
      <c r="D245" s="31"/>
      <c r="E245" s="7"/>
      <c r="F245" s="7"/>
      <c r="H245" s="38"/>
      <c r="I245" s="40"/>
      <c r="K245" s="7"/>
      <c r="N245" s="7"/>
      <c r="O245" s="7"/>
    </row>
    <row r="246" spans="1:15" ht="13" x14ac:dyDescent="0.15">
      <c r="A246" s="7"/>
      <c r="B246" s="31"/>
      <c r="C246" s="31"/>
      <c r="D246" s="31"/>
      <c r="E246" s="7"/>
      <c r="F246" s="7"/>
      <c r="H246" s="38"/>
      <c r="I246" s="40"/>
      <c r="K246" s="7"/>
      <c r="N246" s="7"/>
      <c r="O246" s="7"/>
    </row>
    <row r="247" spans="1:15" ht="13" x14ac:dyDescent="0.15">
      <c r="A247" s="7"/>
      <c r="B247" s="31"/>
      <c r="C247" s="31"/>
      <c r="D247" s="31"/>
      <c r="E247" s="7"/>
      <c r="F247" s="7"/>
      <c r="H247" s="40"/>
      <c r="I247" s="40"/>
      <c r="K247" s="7"/>
      <c r="N247" s="7"/>
      <c r="O247" s="7"/>
    </row>
    <row r="248" spans="1:15" ht="13" x14ac:dyDescent="0.15">
      <c r="A248" s="7"/>
      <c r="B248" s="31"/>
      <c r="C248" s="31"/>
      <c r="D248" s="31"/>
      <c r="E248" s="7"/>
      <c r="F248" s="7"/>
      <c r="H248" s="40"/>
      <c r="I248" s="40"/>
      <c r="K248" s="7"/>
      <c r="N248" s="7"/>
      <c r="O248" s="7"/>
    </row>
    <row r="249" spans="1:15" ht="13" x14ac:dyDescent="0.15">
      <c r="A249" s="7"/>
      <c r="B249" s="31"/>
      <c r="C249" s="31"/>
      <c r="D249" s="31"/>
      <c r="E249" s="7"/>
      <c r="F249" s="7"/>
      <c r="H249" s="40"/>
      <c r="I249" s="40"/>
      <c r="K249" s="7"/>
      <c r="N249" s="7"/>
      <c r="O249" s="7"/>
    </row>
    <row r="250" spans="1:15" ht="13" x14ac:dyDescent="0.15">
      <c r="A250" s="7"/>
      <c r="B250" s="31"/>
      <c r="C250" s="31"/>
      <c r="D250" s="31"/>
      <c r="E250" s="7"/>
      <c r="F250" s="7"/>
      <c r="H250" s="40"/>
      <c r="I250" s="40"/>
      <c r="K250" s="7"/>
      <c r="N250" s="7"/>
      <c r="O250" s="7"/>
    </row>
    <row r="251" spans="1:15" ht="13" x14ac:dyDescent="0.15">
      <c r="A251" s="7"/>
      <c r="B251" s="31"/>
      <c r="C251" s="31"/>
      <c r="D251" s="31"/>
      <c r="E251" s="7"/>
      <c r="F251" s="7"/>
      <c r="H251" s="40"/>
      <c r="I251" s="40"/>
      <c r="K251" s="7"/>
      <c r="N251" s="7"/>
      <c r="O251" s="7"/>
    </row>
    <row r="252" spans="1:15" ht="13" x14ac:dyDescent="0.15">
      <c r="A252" s="7"/>
      <c r="B252" s="31"/>
      <c r="C252" s="31"/>
      <c r="D252" s="31"/>
      <c r="E252" s="7"/>
      <c r="F252" s="7"/>
      <c r="H252" s="40"/>
      <c r="I252" s="40"/>
      <c r="K252" s="7"/>
      <c r="N252" s="7"/>
      <c r="O252" s="7"/>
    </row>
    <row r="253" spans="1:15" ht="13" x14ac:dyDescent="0.15">
      <c r="A253" s="7"/>
      <c r="B253" s="31"/>
      <c r="C253" s="31"/>
      <c r="D253" s="31"/>
      <c r="E253" s="7"/>
      <c r="F253" s="7"/>
      <c r="H253" s="40"/>
      <c r="I253" s="40"/>
      <c r="K253" s="7"/>
      <c r="N253" s="7"/>
      <c r="O253" s="7"/>
    </row>
    <row r="254" spans="1:15" ht="13" x14ac:dyDescent="0.15">
      <c r="A254" s="7"/>
      <c r="B254" s="31"/>
      <c r="C254" s="31"/>
      <c r="D254" s="31"/>
      <c r="E254" s="7"/>
      <c r="F254" s="7"/>
      <c r="H254" s="40"/>
      <c r="I254" s="40"/>
      <c r="K254" s="7"/>
      <c r="N254" s="7"/>
      <c r="O254" s="7"/>
    </row>
    <row r="255" spans="1:15" ht="13" x14ac:dyDescent="0.15">
      <c r="A255" s="7"/>
      <c r="B255" s="31"/>
      <c r="C255" s="31"/>
      <c r="D255" s="31"/>
      <c r="E255" s="7"/>
      <c r="F255" s="7"/>
      <c r="H255" s="40"/>
      <c r="I255" s="40"/>
      <c r="K255" s="7"/>
      <c r="N255" s="7"/>
      <c r="O255" s="7"/>
    </row>
    <row r="256" spans="1:15" ht="13" x14ac:dyDescent="0.15">
      <c r="A256" s="7"/>
      <c r="B256" s="31"/>
      <c r="C256" s="31"/>
      <c r="D256" s="31"/>
      <c r="E256" s="7"/>
      <c r="F256" s="7"/>
      <c r="H256" s="40"/>
      <c r="I256" s="40"/>
      <c r="K256" s="7"/>
      <c r="N256" s="7"/>
      <c r="O256" s="7"/>
    </row>
    <row r="257" spans="1:15" ht="13" x14ac:dyDescent="0.15">
      <c r="A257" s="7"/>
      <c r="B257" s="31"/>
      <c r="C257" s="31"/>
      <c r="D257" s="31"/>
      <c r="E257" s="7"/>
      <c r="F257" s="7"/>
      <c r="H257" s="40"/>
      <c r="I257" s="40"/>
      <c r="K257" s="7"/>
      <c r="N257" s="7"/>
      <c r="O257" s="7"/>
    </row>
    <row r="258" spans="1:15" ht="13" x14ac:dyDescent="0.15">
      <c r="A258" s="7"/>
      <c r="B258" s="31"/>
      <c r="C258" s="31"/>
      <c r="D258" s="31"/>
      <c r="E258" s="7"/>
      <c r="F258" s="7"/>
      <c r="H258" s="40"/>
      <c r="I258" s="40"/>
      <c r="K258" s="7"/>
      <c r="N258" s="7"/>
      <c r="O258" s="7"/>
    </row>
    <row r="259" spans="1:15" ht="13" x14ac:dyDescent="0.15">
      <c r="A259" s="7"/>
      <c r="B259" s="31"/>
      <c r="C259" s="31"/>
      <c r="D259" s="31"/>
      <c r="E259" s="7"/>
      <c r="F259" s="7"/>
      <c r="H259" s="40"/>
      <c r="I259" s="40"/>
      <c r="K259" s="7"/>
      <c r="N259" s="7"/>
      <c r="O259" s="7"/>
    </row>
    <row r="260" spans="1:15" ht="13" x14ac:dyDescent="0.15">
      <c r="A260" s="7"/>
      <c r="B260" s="31"/>
      <c r="C260" s="31"/>
      <c r="D260" s="31"/>
      <c r="E260" s="7"/>
      <c r="F260" s="7"/>
      <c r="H260" s="40"/>
      <c r="I260" s="40"/>
      <c r="K260" s="7"/>
      <c r="N260" s="7"/>
      <c r="O260" s="7"/>
    </row>
    <row r="261" spans="1:15" ht="13" x14ac:dyDescent="0.15">
      <c r="A261" s="7"/>
      <c r="B261" s="31"/>
      <c r="C261" s="31"/>
      <c r="D261" s="31"/>
      <c r="E261" s="7"/>
      <c r="F261" s="7"/>
      <c r="H261" s="40"/>
      <c r="I261" s="40"/>
      <c r="K261" s="7"/>
      <c r="N261" s="7"/>
      <c r="O261" s="7"/>
    </row>
    <row r="262" spans="1:15" ht="13" x14ac:dyDescent="0.15">
      <c r="A262" s="7"/>
      <c r="B262" s="31"/>
      <c r="C262" s="31"/>
      <c r="D262" s="31"/>
      <c r="E262" s="7"/>
      <c r="F262" s="7"/>
      <c r="H262" s="40"/>
      <c r="I262" s="40"/>
      <c r="K262" s="7"/>
      <c r="N262" s="7"/>
      <c r="O262" s="7"/>
    </row>
    <row r="263" spans="1:15" ht="13" x14ac:dyDescent="0.15">
      <c r="A263" s="7"/>
      <c r="B263" s="31"/>
      <c r="C263" s="31"/>
      <c r="D263" s="31"/>
      <c r="E263" s="7"/>
      <c r="F263" s="7"/>
      <c r="H263" s="40"/>
      <c r="I263" s="40"/>
      <c r="K263" s="7"/>
      <c r="N263" s="7"/>
      <c r="O263" s="7"/>
    </row>
    <row r="264" spans="1:15" ht="13" x14ac:dyDescent="0.15">
      <c r="A264" s="7"/>
      <c r="B264" s="31"/>
      <c r="C264" s="31"/>
      <c r="D264" s="31"/>
      <c r="E264" s="7"/>
      <c r="F264" s="7"/>
      <c r="H264" s="40"/>
      <c r="I264" s="40"/>
      <c r="K264" s="7"/>
      <c r="N264" s="7"/>
      <c r="O264" s="7"/>
    </row>
    <row r="265" spans="1:15" ht="13" x14ac:dyDescent="0.15">
      <c r="A265" s="7"/>
      <c r="B265" s="31"/>
      <c r="C265" s="31"/>
      <c r="D265" s="31"/>
      <c r="E265" s="7"/>
      <c r="F265" s="7"/>
      <c r="H265" s="40"/>
      <c r="I265" s="40"/>
      <c r="K265" s="7"/>
      <c r="N265" s="7"/>
      <c r="O265" s="7"/>
    </row>
    <row r="266" spans="1:15" ht="13" x14ac:dyDescent="0.15">
      <c r="A266" s="7"/>
      <c r="B266" s="31"/>
      <c r="C266" s="31"/>
      <c r="D266" s="31"/>
      <c r="E266" s="7"/>
      <c r="F266" s="7"/>
      <c r="H266" s="40"/>
      <c r="I266" s="40"/>
      <c r="K266" s="7"/>
      <c r="N266" s="7"/>
      <c r="O266" s="7"/>
    </row>
    <row r="267" spans="1:15" ht="13" x14ac:dyDescent="0.15">
      <c r="A267" s="7"/>
      <c r="B267" s="31"/>
      <c r="C267" s="31"/>
      <c r="D267" s="31"/>
      <c r="E267" s="7"/>
      <c r="F267" s="7"/>
      <c r="H267" s="40"/>
      <c r="I267" s="40"/>
      <c r="K267" s="7"/>
      <c r="N267" s="7"/>
      <c r="O267" s="7"/>
    </row>
    <row r="268" spans="1:15" ht="13" x14ac:dyDescent="0.15">
      <c r="A268" s="7"/>
      <c r="B268" s="31"/>
      <c r="C268" s="31"/>
      <c r="D268" s="31"/>
      <c r="E268" s="7"/>
      <c r="F268" s="7"/>
      <c r="H268" s="40"/>
      <c r="I268" s="40"/>
      <c r="K268" s="7"/>
      <c r="N268" s="7"/>
      <c r="O268" s="7"/>
    </row>
    <row r="269" spans="1:15" ht="13" x14ac:dyDescent="0.15">
      <c r="A269" s="7"/>
      <c r="B269" s="31"/>
      <c r="C269" s="31"/>
      <c r="D269" s="31"/>
      <c r="E269" s="7"/>
      <c r="F269" s="7"/>
      <c r="H269" s="40"/>
      <c r="I269" s="40"/>
      <c r="K269" s="7"/>
      <c r="N269" s="7"/>
      <c r="O269" s="7"/>
    </row>
    <row r="270" spans="1:15" ht="13" x14ac:dyDescent="0.15">
      <c r="A270" s="7"/>
      <c r="B270" s="31"/>
      <c r="C270" s="31"/>
      <c r="D270" s="31"/>
      <c r="E270" s="7"/>
      <c r="F270" s="7"/>
      <c r="H270" s="40"/>
      <c r="I270" s="40"/>
      <c r="K270" s="7"/>
      <c r="N270" s="7"/>
      <c r="O270" s="7"/>
    </row>
    <row r="271" spans="1:15" ht="13" x14ac:dyDescent="0.15">
      <c r="A271" s="7"/>
      <c r="B271" s="31"/>
      <c r="C271" s="31"/>
      <c r="D271" s="31"/>
      <c r="E271" s="7"/>
      <c r="F271" s="7"/>
      <c r="H271" s="40"/>
      <c r="I271" s="40"/>
      <c r="K271" s="7"/>
      <c r="N271" s="7"/>
      <c r="O271" s="7"/>
    </row>
    <row r="272" spans="1:15" ht="13" x14ac:dyDescent="0.15">
      <c r="A272" s="7"/>
      <c r="B272" s="31"/>
      <c r="C272" s="31"/>
      <c r="D272" s="31"/>
      <c r="E272" s="7"/>
      <c r="F272" s="7"/>
      <c r="H272" s="40"/>
      <c r="I272" s="40"/>
      <c r="K272" s="7"/>
      <c r="N272" s="7"/>
      <c r="O272" s="7"/>
    </row>
    <row r="273" spans="1:15" ht="13" x14ac:dyDescent="0.15">
      <c r="A273" s="7"/>
      <c r="B273" s="31"/>
      <c r="C273" s="31"/>
      <c r="D273" s="31"/>
      <c r="E273" s="7"/>
      <c r="F273" s="7"/>
      <c r="H273" s="40"/>
      <c r="I273" s="40"/>
      <c r="K273" s="7"/>
      <c r="N273" s="7"/>
      <c r="O273" s="7"/>
    </row>
    <row r="274" spans="1:15" ht="13" x14ac:dyDescent="0.15">
      <c r="A274" s="7"/>
      <c r="B274" s="31"/>
      <c r="C274" s="31"/>
      <c r="D274" s="31"/>
      <c r="E274" s="7"/>
      <c r="F274" s="7"/>
      <c r="H274" s="40"/>
      <c r="I274" s="40"/>
      <c r="K274" s="7"/>
      <c r="N274" s="7"/>
      <c r="O274" s="7"/>
    </row>
    <row r="275" spans="1:15" ht="13" x14ac:dyDescent="0.15">
      <c r="A275" s="7"/>
      <c r="B275" s="31"/>
      <c r="C275" s="31"/>
      <c r="D275" s="31"/>
      <c r="E275" s="7"/>
      <c r="F275" s="7"/>
      <c r="H275" s="40"/>
      <c r="I275" s="40"/>
      <c r="K275" s="7"/>
      <c r="N275" s="7"/>
      <c r="O275" s="7"/>
    </row>
    <row r="276" spans="1:15" ht="13" x14ac:dyDescent="0.15">
      <c r="A276" s="7"/>
      <c r="B276" s="31"/>
      <c r="C276" s="31"/>
      <c r="D276" s="31"/>
      <c r="E276" s="7"/>
      <c r="F276" s="7"/>
      <c r="H276" s="40"/>
      <c r="I276" s="40"/>
      <c r="K276" s="7"/>
      <c r="N276" s="7"/>
      <c r="O276" s="7"/>
    </row>
    <row r="277" spans="1:15" ht="13" x14ac:dyDescent="0.15">
      <c r="A277" s="7"/>
      <c r="B277" s="31"/>
      <c r="C277" s="31"/>
      <c r="D277" s="31"/>
      <c r="E277" s="7"/>
      <c r="F277" s="7"/>
      <c r="H277" s="40"/>
      <c r="I277" s="40"/>
      <c r="K277" s="7"/>
      <c r="N277" s="7"/>
      <c r="O277" s="7"/>
    </row>
    <row r="278" spans="1:15" ht="13" x14ac:dyDescent="0.15">
      <c r="A278" s="7"/>
      <c r="B278" s="31"/>
      <c r="C278" s="31"/>
      <c r="D278" s="31"/>
      <c r="E278" s="7"/>
      <c r="F278" s="7"/>
      <c r="H278" s="40"/>
      <c r="I278" s="40"/>
      <c r="K278" s="7"/>
      <c r="N278" s="7"/>
      <c r="O278" s="7"/>
    </row>
    <row r="279" spans="1:15" ht="13" x14ac:dyDescent="0.15">
      <c r="A279" s="7"/>
      <c r="B279" s="31"/>
      <c r="C279" s="31"/>
      <c r="D279" s="31"/>
      <c r="E279" s="7"/>
      <c r="F279" s="7"/>
      <c r="H279" s="40"/>
      <c r="I279" s="40"/>
      <c r="K279" s="7"/>
      <c r="N279" s="7"/>
      <c r="O279" s="7"/>
    </row>
    <row r="280" spans="1:15" ht="13" x14ac:dyDescent="0.15">
      <c r="A280" s="7"/>
      <c r="B280" s="31"/>
      <c r="C280" s="31"/>
      <c r="D280" s="31"/>
      <c r="E280" s="7"/>
      <c r="F280" s="7"/>
      <c r="H280" s="40"/>
      <c r="I280" s="40"/>
      <c r="K280" s="7"/>
      <c r="N280" s="7"/>
      <c r="O280" s="7"/>
    </row>
    <row r="281" spans="1:15" ht="13" x14ac:dyDescent="0.15">
      <c r="A281" s="7"/>
      <c r="B281" s="31"/>
      <c r="C281" s="31"/>
      <c r="D281" s="31"/>
      <c r="E281" s="7"/>
      <c r="F281" s="7"/>
      <c r="H281" s="40"/>
      <c r="I281" s="40"/>
      <c r="K281" s="7"/>
      <c r="N281" s="7"/>
      <c r="O281" s="7"/>
    </row>
    <row r="282" spans="1:15" ht="13" x14ac:dyDescent="0.15">
      <c r="A282" s="7"/>
      <c r="B282" s="31"/>
      <c r="C282" s="31"/>
      <c r="D282" s="31"/>
      <c r="E282" s="7"/>
      <c r="F282" s="7"/>
      <c r="H282" s="40"/>
      <c r="I282" s="40"/>
      <c r="K282" s="7"/>
      <c r="N282" s="7"/>
      <c r="O282" s="7"/>
    </row>
    <row r="283" spans="1:15" ht="13" x14ac:dyDescent="0.15">
      <c r="A283" s="7"/>
      <c r="B283" s="31"/>
      <c r="C283" s="31"/>
      <c r="D283" s="31"/>
      <c r="E283" s="7"/>
      <c r="F283" s="7"/>
      <c r="H283" s="40"/>
      <c r="I283" s="40"/>
      <c r="K283" s="7"/>
      <c r="N283" s="7"/>
      <c r="O283" s="7"/>
    </row>
    <row r="284" spans="1:15" ht="13" x14ac:dyDescent="0.15">
      <c r="A284" s="7"/>
      <c r="B284" s="31"/>
      <c r="C284" s="31"/>
      <c r="D284" s="31"/>
      <c r="E284" s="7"/>
      <c r="F284" s="7"/>
      <c r="H284" s="40"/>
      <c r="I284" s="40"/>
      <c r="K284" s="7"/>
      <c r="N284" s="7"/>
      <c r="O284" s="7"/>
    </row>
    <row r="285" spans="1:15" ht="13" x14ac:dyDescent="0.15">
      <c r="A285" s="7"/>
      <c r="B285" s="31"/>
      <c r="C285" s="31"/>
      <c r="D285" s="31"/>
      <c r="E285" s="7"/>
      <c r="F285" s="7"/>
      <c r="H285" s="40"/>
      <c r="I285" s="40"/>
      <c r="K285" s="7"/>
      <c r="N285" s="7"/>
      <c r="O285" s="7"/>
    </row>
    <row r="286" spans="1:15" ht="13" x14ac:dyDescent="0.15">
      <c r="A286" s="7"/>
      <c r="B286" s="31"/>
      <c r="C286" s="31"/>
      <c r="D286" s="31"/>
      <c r="E286" s="7"/>
      <c r="F286" s="7"/>
      <c r="H286" s="40"/>
      <c r="I286" s="40"/>
      <c r="K286" s="7"/>
      <c r="N286" s="7"/>
      <c r="O286" s="7"/>
    </row>
    <row r="287" spans="1:15" ht="13" x14ac:dyDescent="0.15">
      <c r="A287" s="7"/>
      <c r="B287" s="31"/>
      <c r="C287" s="31"/>
      <c r="D287" s="31"/>
      <c r="E287" s="7"/>
      <c r="F287" s="7"/>
      <c r="H287" s="40"/>
      <c r="I287" s="40"/>
      <c r="K287" s="7"/>
      <c r="N287" s="7"/>
      <c r="O287" s="7"/>
    </row>
    <row r="288" spans="1:15" ht="13" x14ac:dyDescent="0.15">
      <c r="A288" s="7"/>
      <c r="B288" s="31"/>
      <c r="C288" s="31"/>
      <c r="D288" s="31"/>
      <c r="E288" s="7"/>
      <c r="F288" s="7"/>
      <c r="H288" s="40"/>
      <c r="I288" s="40"/>
      <c r="K288" s="7"/>
      <c r="N288" s="7"/>
      <c r="O288" s="7"/>
    </row>
    <row r="289" spans="1:15" ht="13" x14ac:dyDescent="0.15">
      <c r="A289" s="7"/>
      <c r="B289" s="31"/>
      <c r="C289" s="31"/>
      <c r="D289" s="31"/>
      <c r="E289" s="7"/>
      <c r="F289" s="7"/>
      <c r="H289" s="40"/>
      <c r="I289" s="40"/>
      <c r="K289" s="7"/>
      <c r="N289" s="7"/>
      <c r="O289" s="7"/>
    </row>
    <row r="290" spans="1:15" ht="13" x14ac:dyDescent="0.15">
      <c r="A290" s="7"/>
      <c r="B290" s="31"/>
      <c r="C290" s="31"/>
      <c r="D290" s="31"/>
      <c r="E290" s="7"/>
      <c r="F290" s="7"/>
      <c r="H290" s="40"/>
      <c r="I290" s="40"/>
      <c r="K290" s="7"/>
      <c r="N290" s="7"/>
      <c r="O290" s="7"/>
    </row>
    <row r="291" spans="1:15" ht="13" x14ac:dyDescent="0.15">
      <c r="A291" s="7"/>
      <c r="B291" s="31"/>
      <c r="C291" s="31"/>
      <c r="D291" s="31"/>
      <c r="E291" s="7"/>
      <c r="F291" s="7"/>
      <c r="H291" s="40"/>
      <c r="I291" s="40"/>
      <c r="K291" s="7"/>
      <c r="N291" s="7"/>
      <c r="O291" s="7"/>
    </row>
    <row r="292" spans="1:15" ht="13" x14ac:dyDescent="0.15">
      <c r="A292" s="7"/>
      <c r="B292" s="31"/>
      <c r="C292" s="31"/>
      <c r="D292" s="31"/>
      <c r="E292" s="7"/>
      <c r="F292" s="7"/>
      <c r="H292" s="40"/>
      <c r="I292" s="40"/>
      <c r="K292" s="7"/>
      <c r="N292" s="7"/>
      <c r="O292" s="7"/>
    </row>
    <row r="293" spans="1:15" ht="13" x14ac:dyDescent="0.15">
      <c r="A293" s="7"/>
      <c r="B293" s="31"/>
      <c r="C293" s="31"/>
      <c r="D293" s="31"/>
      <c r="E293" s="7"/>
      <c r="F293" s="7"/>
      <c r="H293" s="40"/>
      <c r="I293" s="40"/>
      <c r="K293" s="7"/>
      <c r="N293" s="7"/>
      <c r="O293" s="7"/>
    </row>
    <row r="294" spans="1:15" ht="13" x14ac:dyDescent="0.15">
      <c r="A294" s="7"/>
      <c r="B294" s="31"/>
      <c r="C294" s="31"/>
      <c r="D294" s="31"/>
      <c r="E294" s="7"/>
      <c r="F294" s="7"/>
      <c r="H294" s="40"/>
      <c r="I294" s="40"/>
      <c r="K294" s="7"/>
      <c r="N294" s="7"/>
      <c r="O294" s="7"/>
    </row>
    <row r="295" spans="1:15" ht="13" x14ac:dyDescent="0.15">
      <c r="A295" s="7"/>
      <c r="B295" s="31"/>
      <c r="C295" s="31"/>
      <c r="D295" s="31"/>
      <c r="E295" s="7"/>
      <c r="F295" s="7"/>
      <c r="H295" s="40"/>
      <c r="I295" s="40"/>
      <c r="K295" s="7"/>
      <c r="N295" s="7"/>
      <c r="O295" s="7"/>
    </row>
    <row r="296" spans="1:15" ht="13" x14ac:dyDescent="0.15">
      <c r="A296" s="7"/>
      <c r="B296" s="31"/>
      <c r="C296" s="31"/>
      <c r="D296" s="31"/>
      <c r="E296" s="7"/>
      <c r="F296" s="7"/>
      <c r="H296" s="40"/>
      <c r="I296" s="40"/>
      <c r="K296" s="7"/>
      <c r="N296" s="7"/>
      <c r="O296" s="7"/>
    </row>
    <row r="297" spans="1:15" ht="13" x14ac:dyDescent="0.15">
      <c r="A297" s="7"/>
      <c r="B297" s="31"/>
      <c r="C297" s="31"/>
      <c r="D297" s="31"/>
      <c r="E297" s="7"/>
      <c r="F297" s="7"/>
      <c r="H297" s="40"/>
      <c r="I297" s="40"/>
      <c r="K297" s="7"/>
      <c r="N297" s="7"/>
      <c r="O297" s="7"/>
    </row>
    <row r="298" spans="1:15" ht="13" x14ac:dyDescent="0.15">
      <c r="A298" s="7"/>
      <c r="B298" s="31"/>
      <c r="C298" s="31"/>
      <c r="D298" s="31"/>
      <c r="E298" s="7"/>
      <c r="F298" s="7"/>
      <c r="H298" s="40"/>
      <c r="I298" s="40"/>
      <c r="K298" s="7"/>
      <c r="N298" s="7"/>
      <c r="O298" s="7"/>
    </row>
    <row r="299" spans="1:15" ht="13" x14ac:dyDescent="0.15">
      <c r="A299" s="7"/>
      <c r="B299" s="31"/>
      <c r="C299" s="31"/>
      <c r="D299" s="31"/>
      <c r="E299" s="7"/>
      <c r="F299" s="7"/>
      <c r="H299" s="40"/>
      <c r="I299" s="40"/>
      <c r="K299" s="7"/>
      <c r="N299" s="7"/>
      <c r="O299" s="7"/>
    </row>
    <row r="300" spans="1:15" ht="13" x14ac:dyDescent="0.15">
      <c r="A300" s="7"/>
      <c r="B300" s="31"/>
      <c r="C300" s="31"/>
      <c r="D300" s="31"/>
      <c r="E300" s="7"/>
      <c r="F300" s="7"/>
      <c r="H300" s="40"/>
      <c r="I300" s="40"/>
      <c r="K300" s="7"/>
      <c r="N300" s="7"/>
      <c r="O300" s="7"/>
    </row>
    <row r="301" spans="1:15" ht="13" x14ac:dyDescent="0.15">
      <c r="A301" s="7"/>
      <c r="B301" s="31"/>
      <c r="C301" s="31"/>
      <c r="D301" s="31"/>
      <c r="E301" s="7"/>
      <c r="F301" s="7"/>
      <c r="H301" s="40"/>
      <c r="I301" s="40"/>
      <c r="K301" s="7"/>
      <c r="N301" s="7"/>
      <c r="O301" s="7"/>
    </row>
    <row r="302" spans="1:15" ht="13" x14ac:dyDescent="0.15">
      <c r="A302" s="7"/>
      <c r="B302" s="31"/>
      <c r="C302" s="31"/>
      <c r="D302" s="31"/>
      <c r="E302" s="7"/>
      <c r="F302" s="7"/>
      <c r="H302" s="40"/>
      <c r="I302" s="40"/>
      <c r="K302" s="7"/>
      <c r="N302" s="7"/>
      <c r="O302" s="7"/>
    </row>
    <row r="303" spans="1:15" ht="13" x14ac:dyDescent="0.15">
      <c r="A303" s="7"/>
      <c r="B303" s="31"/>
      <c r="C303" s="31"/>
      <c r="D303" s="31"/>
      <c r="E303" s="7"/>
      <c r="F303" s="7"/>
      <c r="H303" s="40"/>
      <c r="I303" s="40"/>
      <c r="K303" s="7"/>
      <c r="N303" s="7"/>
      <c r="O303" s="7"/>
    </row>
    <row r="304" spans="1:15" ht="13" x14ac:dyDescent="0.15">
      <c r="A304" s="7"/>
      <c r="B304" s="31"/>
      <c r="C304" s="31"/>
      <c r="D304" s="31"/>
      <c r="E304" s="7"/>
      <c r="F304" s="7"/>
      <c r="H304" s="40"/>
      <c r="I304" s="40"/>
      <c r="K304" s="7"/>
      <c r="N304" s="7"/>
      <c r="O304" s="7"/>
    </row>
    <row r="305" spans="1:15" ht="13" x14ac:dyDescent="0.15">
      <c r="A305" s="7"/>
      <c r="B305" s="31"/>
      <c r="C305" s="31"/>
      <c r="D305" s="31"/>
      <c r="E305" s="7"/>
      <c r="F305" s="7"/>
      <c r="H305" s="40"/>
      <c r="I305" s="40"/>
      <c r="K305" s="7"/>
      <c r="N305" s="7"/>
      <c r="O305" s="7"/>
    </row>
    <row r="306" spans="1:15" ht="13" x14ac:dyDescent="0.15">
      <c r="A306" s="7"/>
      <c r="B306" s="31"/>
      <c r="C306" s="31"/>
      <c r="D306" s="31"/>
      <c r="E306" s="7"/>
      <c r="F306" s="7"/>
      <c r="H306" s="40"/>
      <c r="I306" s="40"/>
      <c r="K306" s="7"/>
      <c r="N306" s="7"/>
      <c r="O306" s="7"/>
    </row>
    <row r="307" spans="1:15" ht="13" x14ac:dyDescent="0.15">
      <c r="A307" s="7"/>
      <c r="B307" s="31"/>
      <c r="C307" s="31"/>
      <c r="D307" s="31"/>
      <c r="E307" s="7"/>
      <c r="F307" s="7"/>
      <c r="H307" s="40"/>
      <c r="I307" s="40"/>
      <c r="K307" s="7"/>
      <c r="N307" s="7"/>
      <c r="O307" s="7"/>
    </row>
    <row r="308" spans="1:15" ht="13" x14ac:dyDescent="0.15">
      <c r="A308" s="7"/>
      <c r="B308" s="31"/>
      <c r="C308" s="31"/>
      <c r="D308" s="31"/>
      <c r="E308" s="7"/>
      <c r="F308" s="7"/>
      <c r="H308" s="40"/>
      <c r="I308" s="40"/>
      <c r="K308" s="7"/>
      <c r="N308" s="7"/>
      <c r="O308" s="7"/>
    </row>
    <row r="309" spans="1:15" ht="13" x14ac:dyDescent="0.15">
      <c r="A309" s="7"/>
      <c r="B309" s="31"/>
      <c r="C309" s="31"/>
      <c r="D309" s="31"/>
      <c r="E309" s="7"/>
      <c r="F309" s="7"/>
      <c r="H309" s="40"/>
      <c r="I309" s="40"/>
      <c r="K309" s="7"/>
      <c r="N309" s="7"/>
      <c r="O309" s="7"/>
    </row>
    <row r="310" spans="1:15" ht="13" x14ac:dyDescent="0.15">
      <c r="A310" s="7"/>
      <c r="B310" s="31"/>
      <c r="C310" s="31"/>
      <c r="D310" s="31"/>
      <c r="E310" s="7"/>
      <c r="F310" s="7"/>
      <c r="H310" s="40"/>
      <c r="I310" s="40"/>
      <c r="K310" s="7"/>
      <c r="N310" s="7"/>
      <c r="O310" s="7"/>
    </row>
    <row r="311" spans="1:15" ht="13" x14ac:dyDescent="0.15">
      <c r="A311" s="7"/>
      <c r="B311" s="31"/>
      <c r="C311" s="31"/>
      <c r="D311" s="31"/>
      <c r="E311" s="7"/>
      <c r="F311" s="7"/>
      <c r="H311" s="40"/>
      <c r="I311" s="40"/>
      <c r="K311" s="7"/>
      <c r="N311" s="7"/>
      <c r="O311" s="7"/>
    </row>
    <row r="312" spans="1:15" ht="13" x14ac:dyDescent="0.15">
      <c r="A312" s="7"/>
      <c r="B312" s="31"/>
      <c r="C312" s="31"/>
      <c r="D312" s="31"/>
      <c r="E312" s="7"/>
      <c r="F312" s="7"/>
      <c r="H312" s="40"/>
      <c r="I312" s="40"/>
      <c r="K312" s="7"/>
      <c r="N312" s="7"/>
      <c r="O312" s="7"/>
    </row>
    <row r="313" spans="1:15" ht="13" x14ac:dyDescent="0.15">
      <c r="A313" s="7"/>
      <c r="B313" s="31"/>
      <c r="C313" s="31"/>
      <c r="D313" s="31"/>
      <c r="E313" s="7"/>
      <c r="F313" s="7"/>
      <c r="H313" s="40"/>
      <c r="I313" s="40"/>
      <c r="K313" s="7"/>
      <c r="N313" s="7"/>
      <c r="O313" s="7"/>
    </row>
    <row r="314" spans="1:15" ht="13" x14ac:dyDescent="0.15">
      <c r="A314" s="7"/>
      <c r="B314" s="31"/>
      <c r="C314" s="31"/>
      <c r="D314" s="31"/>
      <c r="E314" s="7"/>
      <c r="F314" s="7"/>
      <c r="H314" s="40"/>
      <c r="I314" s="40"/>
      <c r="K314" s="7"/>
      <c r="N314" s="7"/>
      <c r="O314" s="7"/>
    </row>
    <row r="315" spans="1:15" ht="13" x14ac:dyDescent="0.15">
      <c r="A315" s="7"/>
      <c r="B315" s="31"/>
      <c r="C315" s="31"/>
      <c r="D315" s="31"/>
      <c r="E315" s="7"/>
      <c r="F315" s="7"/>
      <c r="H315" s="40"/>
      <c r="I315" s="40"/>
      <c r="K315" s="7"/>
      <c r="N315" s="7"/>
      <c r="O315" s="7"/>
    </row>
    <row r="316" spans="1:15" ht="13" x14ac:dyDescent="0.15">
      <c r="A316" s="7"/>
      <c r="B316" s="31"/>
      <c r="C316" s="31"/>
      <c r="D316" s="31"/>
      <c r="E316" s="7"/>
      <c r="F316" s="7"/>
      <c r="H316" s="40"/>
      <c r="I316" s="40"/>
      <c r="K316" s="7"/>
      <c r="N316" s="7"/>
      <c r="O316" s="7"/>
    </row>
    <row r="317" spans="1:15" ht="13" x14ac:dyDescent="0.15">
      <c r="A317" s="7"/>
      <c r="B317" s="31"/>
      <c r="C317" s="31"/>
      <c r="D317" s="31"/>
      <c r="E317" s="7"/>
      <c r="F317" s="7"/>
      <c r="H317" s="40"/>
      <c r="I317" s="40"/>
      <c r="K317" s="7"/>
      <c r="N317" s="7"/>
      <c r="O317" s="7"/>
    </row>
    <row r="318" spans="1:15" ht="13" x14ac:dyDescent="0.15">
      <c r="A318" s="7"/>
      <c r="B318" s="31"/>
      <c r="C318" s="31"/>
      <c r="D318" s="31"/>
      <c r="E318" s="7"/>
      <c r="F318" s="7"/>
      <c r="H318" s="40"/>
      <c r="I318" s="40"/>
      <c r="K318" s="7"/>
      <c r="N318" s="7"/>
      <c r="O318" s="7"/>
    </row>
    <row r="319" spans="1:15" ht="13" x14ac:dyDescent="0.15">
      <c r="A319" s="7"/>
      <c r="B319" s="31"/>
      <c r="C319" s="31"/>
      <c r="D319" s="31"/>
      <c r="E319" s="7"/>
      <c r="F319" s="7"/>
      <c r="H319" s="40"/>
      <c r="I319" s="40"/>
      <c r="K319" s="7"/>
      <c r="N319" s="7"/>
      <c r="O319" s="7"/>
    </row>
    <row r="320" spans="1:15" ht="13" x14ac:dyDescent="0.15">
      <c r="A320" s="7"/>
      <c r="B320" s="31"/>
      <c r="C320" s="31"/>
      <c r="D320" s="31"/>
      <c r="E320" s="7"/>
      <c r="F320" s="7"/>
      <c r="H320" s="40"/>
      <c r="I320" s="40"/>
      <c r="K320" s="7"/>
      <c r="N320" s="7"/>
      <c r="O320" s="7"/>
    </row>
    <row r="321" spans="1:15" ht="13" x14ac:dyDescent="0.15">
      <c r="A321" s="7"/>
      <c r="B321" s="31"/>
      <c r="C321" s="31"/>
      <c r="D321" s="31"/>
      <c r="E321" s="7"/>
      <c r="F321" s="7"/>
      <c r="H321" s="40"/>
      <c r="I321" s="40"/>
      <c r="K321" s="7"/>
      <c r="N321" s="7"/>
      <c r="O321" s="7"/>
    </row>
    <row r="322" spans="1:15" ht="13" x14ac:dyDescent="0.15">
      <c r="A322" s="7"/>
      <c r="B322" s="31"/>
      <c r="C322" s="31"/>
      <c r="D322" s="31"/>
      <c r="E322" s="7"/>
      <c r="F322" s="7"/>
      <c r="H322" s="40"/>
      <c r="I322" s="40"/>
      <c r="K322" s="7"/>
      <c r="N322" s="7"/>
      <c r="O322" s="7"/>
    </row>
    <row r="323" spans="1:15" ht="13" x14ac:dyDescent="0.15">
      <c r="A323" s="7"/>
      <c r="B323" s="31"/>
      <c r="C323" s="31"/>
      <c r="D323" s="31"/>
      <c r="E323" s="7"/>
      <c r="F323" s="7"/>
      <c r="H323" s="40"/>
      <c r="I323" s="40"/>
      <c r="K323" s="7"/>
      <c r="N323" s="7"/>
      <c r="O323" s="7"/>
    </row>
    <row r="324" spans="1:15" ht="13" x14ac:dyDescent="0.15">
      <c r="A324" s="7"/>
      <c r="B324" s="31"/>
      <c r="C324" s="31"/>
      <c r="D324" s="31"/>
      <c r="E324" s="7"/>
      <c r="F324" s="7"/>
      <c r="H324" s="40"/>
      <c r="I324" s="40"/>
      <c r="K324" s="7"/>
      <c r="N324" s="7"/>
      <c r="O324" s="7"/>
    </row>
    <row r="325" spans="1:15" ht="13" x14ac:dyDescent="0.15">
      <c r="A325" s="7"/>
      <c r="B325" s="31"/>
      <c r="C325" s="31"/>
      <c r="D325" s="31"/>
      <c r="E325" s="7"/>
      <c r="F325" s="7"/>
      <c r="H325" s="40"/>
      <c r="I325" s="40"/>
      <c r="K325" s="7"/>
      <c r="N325" s="7"/>
      <c r="O325" s="7"/>
    </row>
    <row r="326" spans="1:15" ht="13" x14ac:dyDescent="0.15">
      <c r="A326" s="7"/>
      <c r="B326" s="31"/>
      <c r="C326" s="31"/>
      <c r="D326" s="31"/>
      <c r="E326" s="7"/>
      <c r="F326" s="7"/>
      <c r="H326" s="40"/>
      <c r="I326" s="40"/>
      <c r="K326" s="7"/>
      <c r="N326" s="7"/>
      <c r="O326" s="7"/>
    </row>
    <row r="327" spans="1:15" ht="13" x14ac:dyDescent="0.15">
      <c r="A327" s="7"/>
      <c r="B327" s="31"/>
      <c r="C327" s="31"/>
      <c r="D327" s="31"/>
      <c r="E327" s="7"/>
      <c r="F327" s="7"/>
      <c r="H327" s="40"/>
      <c r="I327" s="40"/>
      <c r="K327" s="7"/>
      <c r="N327" s="7"/>
      <c r="O327" s="7"/>
    </row>
    <row r="328" spans="1:15" ht="13" x14ac:dyDescent="0.15">
      <c r="A328" s="7"/>
      <c r="B328" s="31"/>
      <c r="C328" s="31"/>
      <c r="D328" s="31"/>
      <c r="E328" s="7"/>
      <c r="F328" s="7"/>
      <c r="H328" s="40"/>
      <c r="I328" s="40"/>
      <c r="K328" s="7"/>
      <c r="N328" s="7"/>
      <c r="O328" s="7"/>
    </row>
    <row r="329" spans="1:15" ht="13" x14ac:dyDescent="0.15">
      <c r="A329" s="7"/>
      <c r="B329" s="31"/>
      <c r="C329" s="31"/>
      <c r="D329" s="31"/>
      <c r="E329" s="7"/>
      <c r="F329" s="7"/>
      <c r="H329" s="40"/>
      <c r="I329" s="40"/>
      <c r="K329" s="7"/>
      <c r="N329" s="7"/>
      <c r="O329" s="7"/>
    </row>
    <row r="330" spans="1:15" ht="13" x14ac:dyDescent="0.15">
      <c r="A330" s="7"/>
      <c r="B330" s="31"/>
      <c r="C330" s="31"/>
      <c r="D330" s="31"/>
      <c r="E330" s="7"/>
      <c r="F330" s="7"/>
      <c r="H330" s="40"/>
      <c r="I330" s="40"/>
      <c r="K330" s="7"/>
      <c r="N330" s="7"/>
      <c r="O330" s="7"/>
    </row>
    <row r="331" spans="1:15" ht="13" x14ac:dyDescent="0.15">
      <c r="A331" s="7"/>
      <c r="B331" s="31"/>
      <c r="C331" s="31"/>
      <c r="D331" s="31"/>
      <c r="E331" s="7"/>
      <c r="F331" s="7"/>
      <c r="H331" s="40"/>
      <c r="I331" s="40"/>
      <c r="K331" s="7"/>
      <c r="N331" s="7"/>
      <c r="O331" s="7"/>
    </row>
    <row r="332" spans="1:15" ht="13" x14ac:dyDescent="0.15">
      <c r="A332" s="7"/>
      <c r="B332" s="31"/>
      <c r="C332" s="31"/>
      <c r="D332" s="31"/>
      <c r="E332" s="7"/>
      <c r="F332" s="7"/>
      <c r="H332" s="40"/>
      <c r="I332" s="40"/>
      <c r="K332" s="7"/>
      <c r="N332" s="7"/>
      <c r="O332" s="7"/>
    </row>
    <row r="333" spans="1:15" ht="13" x14ac:dyDescent="0.15">
      <c r="A333" s="7"/>
      <c r="B333" s="31"/>
      <c r="C333" s="31"/>
      <c r="D333" s="31"/>
      <c r="E333" s="7"/>
      <c r="F333" s="7"/>
      <c r="H333" s="40"/>
      <c r="I333" s="40"/>
      <c r="K333" s="7"/>
      <c r="N333" s="7"/>
      <c r="O333" s="7"/>
    </row>
    <row r="334" spans="1:15" ht="13" x14ac:dyDescent="0.15">
      <c r="A334" s="7"/>
      <c r="B334" s="31"/>
      <c r="C334" s="31"/>
      <c r="D334" s="31"/>
      <c r="E334" s="7"/>
      <c r="F334" s="7"/>
      <c r="H334" s="40"/>
      <c r="I334" s="40"/>
      <c r="K334" s="7"/>
      <c r="N334" s="7"/>
      <c r="O334" s="7"/>
    </row>
    <row r="335" spans="1:15" ht="13" x14ac:dyDescent="0.15">
      <c r="A335" s="7"/>
      <c r="B335" s="31"/>
      <c r="C335" s="31"/>
      <c r="D335" s="31"/>
      <c r="E335" s="7"/>
      <c r="F335" s="7"/>
      <c r="H335" s="40"/>
      <c r="I335" s="40"/>
      <c r="K335" s="7"/>
      <c r="N335" s="7"/>
      <c r="O335" s="7"/>
    </row>
    <row r="336" spans="1:15" ht="13" x14ac:dyDescent="0.15">
      <c r="A336" s="7"/>
      <c r="B336" s="31"/>
      <c r="C336" s="31"/>
      <c r="D336" s="31"/>
      <c r="E336" s="7"/>
      <c r="F336" s="7"/>
      <c r="H336" s="40"/>
      <c r="I336" s="40"/>
      <c r="K336" s="7"/>
      <c r="N336" s="7"/>
      <c r="O336" s="7"/>
    </row>
    <row r="337" spans="1:15" ht="13" x14ac:dyDescent="0.15">
      <c r="A337" s="7"/>
      <c r="B337" s="31"/>
      <c r="C337" s="31"/>
      <c r="D337" s="31"/>
      <c r="E337" s="7"/>
      <c r="F337" s="7"/>
      <c r="H337" s="40"/>
      <c r="I337" s="40"/>
      <c r="K337" s="7"/>
      <c r="N337" s="7"/>
      <c r="O337" s="7"/>
    </row>
    <row r="338" spans="1:15" ht="13" x14ac:dyDescent="0.15">
      <c r="A338" s="7"/>
      <c r="B338" s="31"/>
      <c r="C338" s="31"/>
      <c r="D338" s="31"/>
      <c r="E338" s="7"/>
      <c r="F338" s="7"/>
      <c r="H338" s="40"/>
      <c r="I338" s="40"/>
      <c r="K338" s="7"/>
      <c r="N338" s="7"/>
      <c r="O338" s="7"/>
    </row>
    <row r="339" spans="1:15" ht="13" x14ac:dyDescent="0.15">
      <c r="A339" s="7"/>
      <c r="B339" s="31"/>
      <c r="C339" s="31"/>
      <c r="D339" s="31"/>
      <c r="E339" s="7"/>
      <c r="F339" s="7"/>
      <c r="H339" s="40"/>
      <c r="I339" s="40"/>
      <c r="K339" s="7"/>
      <c r="N339" s="7"/>
      <c r="O339" s="7"/>
    </row>
    <row r="340" spans="1:15" ht="13" x14ac:dyDescent="0.15">
      <c r="A340" s="7"/>
      <c r="B340" s="31"/>
      <c r="C340" s="31"/>
      <c r="D340" s="31"/>
      <c r="E340" s="7"/>
      <c r="F340" s="7"/>
      <c r="H340" s="40"/>
      <c r="I340" s="40"/>
      <c r="K340" s="7"/>
      <c r="N340" s="7"/>
      <c r="O340" s="7"/>
    </row>
    <row r="341" spans="1:15" ht="13" x14ac:dyDescent="0.15">
      <c r="A341" s="7"/>
      <c r="B341" s="31"/>
      <c r="C341" s="31"/>
      <c r="D341" s="31"/>
      <c r="E341" s="7"/>
      <c r="F341" s="7"/>
      <c r="H341" s="40"/>
      <c r="I341" s="40"/>
      <c r="K341" s="7"/>
      <c r="N341" s="7"/>
      <c r="O341" s="7"/>
    </row>
    <row r="342" spans="1:15" ht="13" x14ac:dyDescent="0.15">
      <c r="A342" s="7"/>
      <c r="B342" s="31"/>
      <c r="C342" s="31"/>
      <c r="D342" s="31"/>
      <c r="E342" s="7"/>
      <c r="F342" s="7"/>
      <c r="H342" s="40"/>
      <c r="I342" s="40"/>
      <c r="K342" s="7"/>
      <c r="N342" s="7"/>
      <c r="O342" s="7"/>
    </row>
    <row r="343" spans="1:15" ht="13" x14ac:dyDescent="0.15">
      <c r="A343" s="7"/>
      <c r="B343" s="31"/>
      <c r="C343" s="31"/>
      <c r="D343" s="31"/>
      <c r="E343" s="7"/>
      <c r="F343" s="7"/>
      <c r="H343" s="40"/>
      <c r="I343" s="40"/>
      <c r="K343" s="7"/>
      <c r="N343" s="7"/>
      <c r="O343" s="7"/>
    </row>
    <row r="344" spans="1:15" ht="13" x14ac:dyDescent="0.15">
      <c r="A344" s="7"/>
      <c r="B344" s="31"/>
      <c r="C344" s="31"/>
      <c r="D344" s="31"/>
      <c r="E344" s="7"/>
      <c r="F344" s="7"/>
      <c r="H344" s="40"/>
      <c r="I344" s="40"/>
      <c r="K344" s="7"/>
      <c r="N344" s="7"/>
      <c r="O344" s="7"/>
    </row>
    <row r="345" spans="1:15" ht="13" x14ac:dyDescent="0.15">
      <c r="A345" s="7"/>
      <c r="B345" s="31"/>
      <c r="C345" s="31"/>
      <c r="D345" s="31"/>
      <c r="E345" s="7"/>
      <c r="F345" s="7"/>
      <c r="H345" s="40"/>
      <c r="I345" s="40"/>
      <c r="K345" s="7"/>
      <c r="N345" s="7"/>
      <c r="O345" s="7"/>
    </row>
    <row r="346" spans="1:15" ht="13" x14ac:dyDescent="0.15">
      <c r="A346" s="7"/>
      <c r="B346" s="31"/>
      <c r="C346" s="31"/>
      <c r="D346" s="31"/>
      <c r="E346" s="7"/>
      <c r="F346" s="7"/>
      <c r="H346" s="40"/>
      <c r="I346" s="40"/>
      <c r="K346" s="7"/>
      <c r="N346" s="7"/>
      <c r="O346" s="7"/>
    </row>
    <row r="347" spans="1:15" ht="13" x14ac:dyDescent="0.15">
      <c r="A347" s="7"/>
      <c r="B347" s="31"/>
      <c r="C347" s="31"/>
      <c r="D347" s="31"/>
      <c r="E347" s="7"/>
      <c r="F347" s="7"/>
      <c r="H347" s="40"/>
      <c r="I347" s="40"/>
      <c r="K347" s="7"/>
      <c r="N347" s="7"/>
      <c r="O347" s="7"/>
    </row>
    <row r="348" spans="1:15" ht="13" x14ac:dyDescent="0.15">
      <c r="A348" s="7"/>
      <c r="B348" s="31"/>
      <c r="C348" s="31"/>
      <c r="D348" s="31"/>
      <c r="E348" s="7"/>
      <c r="F348" s="7"/>
      <c r="H348" s="40"/>
      <c r="I348" s="40"/>
      <c r="K348" s="7"/>
      <c r="N348" s="7"/>
      <c r="O348" s="7"/>
    </row>
    <row r="349" spans="1:15" ht="13" x14ac:dyDescent="0.15">
      <c r="A349" s="7"/>
      <c r="B349" s="31"/>
      <c r="C349" s="31"/>
      <c r="D349" s="31"/>
      <c r="E349" s="7"/>
      <c r="F349" s="7"/>
      <c r="H349" s="40"/>
      <c r="I349" s="40"/>
      <c r="K349" s="7"/>
      <c r="N349" s="7"/>
      <c r="O349" s="7"/>
    </row>
    <row r="350" spans="1:15" ht="13" x14ac:dyDescent="0.15">
      <c r="A350" s="7"/>
      <c r="B350" s="31"/>
      <c r="C350" s="31"/>
      <c r="D350" s="31"/>
      <c r="E350" s="7"/>
      <c r="F350" s="7"/>
      <c r="H350" s="40"/>
      <c r="I350" s="40"/>
      <c r="K350" s="7"/>
      <c r="N350" s="7"/>
      <c r="O350" s="7"/>
    </row>
    <row r="351" spans="1:15" ht="13" x14ac:dyDescent="0.15">
      <c r="A351" s="7"/>
      <c r="B351" s="31"/>
      <c r="C351" s="31"/>
      <c r="D351" s="31"/>
      <c r="E351" s="7"/>
      <c r="F351" s="7"/>
      <c r="H351" s="40"/>
      <c r="I351" s="40"/>
      <c r="K351" s="7"/>
      <c r="N351" s="7"/>
      <c r="O351" s="7"/>
    </row>
    <row r="352" spans="1:15" ht="13" x14ac:dyDescent="0.15">
      <c r="A352" s="7"/>
      <c r="B352" s="31"/>
      <c r="C352" s="31"/>
      <c r="D352" s="31"/>
      <c r="E352" s="7"/>
      <c r="F352" s="7"/>
      <c r="H352" s="40"/>
      <c r="I352" s="40"/>
      <c r="K352" s="7"/>
      <c r="N352" s="7"/>
      <c r="O352" s="7"/>
    </row>
    <row r="353" spans="1:15" ht="13" x14ac:dyDescent="0.15">
      <c r="A353" s="7"/>
      <c r="B353" s="31"/>
      <c r="C353" s="31"/>
      <c r="D353" s="31"/>
      <c r="E353" s="7"/>
      <c r="F353" s="7"/>
      <c r="H353" s="40"/>
      <c r="I353" s="40"/>
      <c r="K353" s="7"/>
      <c r="N353" s="7"/>
      <c r="O353" s="7"/>
    </row>
    <row r="354" spans="1:15" ht="13" x14ac:dyDescent="0.15">
      <c r="A354" s="7"/>
      <c r="B354" s="31"/>
      <c r="C354" s="31"/>
      <c r="D354" s="31"/>
      <c r="E354" s="7"/>
      <c r="F354" s="7"/>
      <c r="H354" s="40"/>
      <c r="I354" s="40"/>
      <c r="K354" s="7"/>
      <c r="N354" s="7"/>
      <c r="O354" s="7"/>
    </row>
    <row r="355" spans="1:15" ht="13" x14ac:dyDescent="0.15">
      <c r="A355" s="7"/>
      <c r="B355" s="31"/>
      <c r="C355" s="31"/>
      <c r="D355" s="31"/>
      <c r="E355" s="7"/>
      <c r="F355" s="7"/>
      <c r="H355" s="40"/>
      <c r="I355" s="40"/>
      <c r="K355" s="7"/>
      <c r="N355" s="7"/>
      <c r="O355" s="7"/>
    </row>
    <row r="356" spans="1:15" ht="13" x14ac:dyDescent="0.15">
      <c r="A356" s="7"/>
      <c r="B356" s="31"/>
      <c r="C356" s="31"/>
      <c r="D356" s="31"/>
      <c r="E356" s="7"/>
      <c r="F356" s="7"/>
      <c r="H356" s="40"/>
      <c r="I356" s="40"/>
      <c r="K356" s="7"/>
      <c r="N356" s="7"/>
      <c r="O356" s="7"/>
    </row>
    <row r="357" spans="1:15" ht="13" x14ac:dyDescent="0.15">
      <c r="A357" s="7"/>
      <c r="B357" s="31"/>
      <c r="C357" s="31"/>
      <c r="D357" s="31"/>
      <c r="E357" s="7"/>
      <c r="F357" s="7"/>
      <c r="H357" s="40"/>
      <c r="I357" s="40"/>
      <c r="K357" s="7"/>
      <c r="N357" s="7"/>
      <c r="O357" s="7"/>
    </row>
    <row r="358" spans="1:15" ht="13" x14ac:dyDescent="0.15">
      <c r="A358" s="7"/>
      <c r="B358" s="31"/>
      <c r="C358" s="31"/>
      <c r="D358" s="31"/>
      <c r="E358" s="7"/>
      <c r="F358" s="7"/>
      <c r="H358" s="40"/>
      <c r="I358" s="40"/>
      <c r="K358" s="7"/>
      <c r="N358" s="7"/>
      <c r="O358" s="7"/>
    </row>
    <row r="359" spans="1:15" ht="13" x14ac:dyDescent="0.15">
      <c r="A359" s="7"/>
      <c r="B359" s="31"/>
      <c r="C359" s="31"/>
      <c r="D359" s="31"/>
      <c r="E359" s="7"/>
      <c r="F359" s="7"/>
      <c r="H359" s="40"/>
      <c r="I359" s="40"/>
      <c r="K359" s="7"/>
      <c r="N359" s="7"/>
      <c r="O359" s="7"/>
    </row>
    <row r="360" spans="1:15" ht="13" x14ac:dyDescent="0.15">
      <c r="A360" s="7"/>
      <c r="B360" s="31"/>
      <c r="C360" s="31"/>
      <c r="D360" s="31"/>
      <c r="E360" s="7"/>
      <c r="F360" s="7"/>
      <c r="H360" s="40"/>
      <c r="I360" s="40"/>
      <c r="K360" s="7"/>
      <c r="N360" s="7"/>
      <c r="O360" s="7"/>
    </row>
    <row r="361" spans="1:15" ht="13" x14ac:dyDescent="0.15">
      <c r="A361" s="7"/>
      <c r="B361" s="31"/>
      <c r="C361" s="31"/>
      <c r="D361" s="31"/>
      <c r="E361" s="7"/>
      <c r="F361" s="7"/>
      <c r="H361" s="40"/>
      <c r="I361" s="40"/>
      <c r="K361" s="7"/>
      <c r="N361" s="7"/>
      <c r="O361" s="7"/>
    </row>
    <row r="362" spans="1:15" ht="13" x14ac:dyDescent="0.15">
      <c r="A362" s="7"/>
      <c r="B362" s="31"/>
      <c r="C362" s="31"/>
      <c r="D362" s="31"/>
      <c r="E362" s="7"/>
      <c r="F362" s="7"/>
      <c r="H362" s="40"/>
      <c r="I362" s="40"/>
      <c r="K362" s="7"/>
      <c r="N362" s="7"/>
      <c r="O362" s="7"/>
    </row>
    <row r="363" spans="1:15" ht="13" x14ac:dyDescent="0.15">
      <c r="A363" s="7"/>
      <c r="B363" s="31"/>
      <c r="C363" s="31"/>
      <c r="D363" s="31"/>
      <c r="E363" s="7"/>
      <c r="F363" s="7"/>
      <c r="H363" s="40"/>
      <c r="I363" s="40"/>
      <c r="K363" s="7"/>
      <c r="N363" s="7"/>
      <c r="O363" s="7"/>
    </row>
    <row r="364" spans="1:15" ht="13" x14ac:dyDescent="0.15">
      <c r="A364" s="7"/>
      <c r="B364" s="31"/>
      <c r="C364" s="31"/>
      <c r="D364" s="31"/>
      <c r="E364" s="7"/>
      <c r="F364" s="7"/>
      <c r="H364" s="40"/>
      <c r="I364" s="40"/>
      <c r="K364" s="7"/>
      <c r="N364" s="7"/>
      <c r="O364" s="7"/>
    </row>
    <row r="365" spans="1:15" ht="13" x14ac:dyDescent="0.15">
      <c r="A365" s="7"/>
      <c r="B365" s="31"/>
      <c r="C365" s="31"/>
      <c r="D365" s="31"/>
      <c r="E365" s="7"/>
      <c r="F365" s="7"/>
      <c r="H365" s="40"/>
      <c r="I365" s="40"/>
      <c r="K365" s="7"/>
      <c r="N365" s="7"/>
      <c r="O365" s="7"/>
    </row>
    <row r="366" spans="1:15" ht="13" x14ac:dyDescent="0.15">
      <c r="A366" s="7"/>
      <c r="B366" s="31"/>
      <c r="C366" s="31"/>
      <c r="D366" s="31"/>
      <c r="E366" s="7"/>
      <c r="F366" s="7"/>
      <c r="H366" s="40"/>
      <c r="I366" s="40"/>
      <c r="K366" s="7"/>
      <c r="N366" s="7"/>
      <c r="O366" s="7"/>
    </row>
    <row r="367" spans="1:15" ht="13" x14ac:dyDescent="0.15">
      <c r="A367" s="7"/>
      <c r="B367" s="31"/>
      <c r="C367" s="31"/>
      <c r="D367" s="31"/>
      <c r="E367" s="7"/>
      <c r="F367" s="7"/>
      <c r="H367" s="40"/>
      <c r="I367" s="40"/>
      <c r="K367" s="7"/>
      <c r="N367" s="7"/>
      <c r="O367" s="7"/>
    </row>
    <row r="368" spans="1:15" ht="13" x14ac:dyDescent="0.15">
      <c r="A368" s="7"/>
      <c r="B368" s="31"/>
      <c r="C368" s="31"/>
      <c r="D368" s="31"/>
      <c r="E368" s="7"/>
      <c r="F368" s="7"/>
      <c r="H368" s="40"/>
      <c r="I368" s="40"/>
      <c r="K368" s="7"/>
      <c r="N368" s="7"/>
      <c r="O368" s="7"/>
    </row>
    <row r="369" spans="1:15" ht="13" x14ac:dyDescent="0.15">
      <c r="A369" s="7"/>
      <c r="B369" s="31"/>
      <c r="C369" s="31"/>
      <c r="D369" s="31"/>
      <c r="E369" s="7"/>
      <c r="F369" s="7"/>
      <c r="H369" s="40"/>
      <c r="I369" s="40"/>
      <c r="K369" s="7"/>
      <c r="N369" s="7"/>
      <c r="O369" s="7"/>
    </row>
    <row r="370" spans="1:15" ht="13" x14ac:dyDescent="0.15">
      <c r="A370" s="7"/>
      <c r="B370" s="31"/>
      <c r="C370" s="31"/>
      <c r="D370" s="31"/>
      <c r="E370" s="7"/>
      <c r="F370" s="7"/>
      <c r="H370" s="40"/>
      <c r="I370" s="40"/>
      <c r="K370" s="7"/>
      <c r="N370" s="7"/>
      <c r="O370" s="7"/>
    </row>
    <row r="371" spans="1:15" ht="13" x14ac:dyDescent="0.15">
      <c r="A371" s="7"/>
      <c r="B371" s="31"/>
      <c r="C371" s="31"/>
      <c r="D371" s="31"/>
      <c r="E371" s="7"/>
      <c r="F371" s="7"/>
      <c r="H371" s="40"/>
      <c r="I371" s="40"/>
      <c r="K371" s="7"/>
      <c r="N371" s="7"/>
      <c r="O371" s="7"/>
    </row>
    <row r="372" spans="1:15" ht="13" x14ac:dyDescent="0.15">
      <c r="A372" s="7"/>
      <c r="B372" s="31"/>
      <c r="C372" s="31"/>
      <c r="D372" s="31"/>
      <c r="E372" s="7"/>
      <c r="F372" s="7"/>
      <c r="H372" s="40"/>
      <c r="I372" s="40"/>
      <c r="K372" s="7"/>
      <c r="N372" s="7"/>
      <c r="O372" s="7"/>
    </row>
    <row r="373" spans="1:15" ht="13" x14ac:dyDescent="0.15">
      <c r="A373" s="7"/>
      <c r="B373" s="31"/>
      <c r="C373" s="31"/>
      <c r="D373" s="31"/>
      <c r="E373" s="7"/>
      <c r="F373" s="7"/>
      <c r="H373" s="40"/>
      <c r="I373" s="40"/>
      <c r="K373" s="7"/>
      <c r="N373" s="7"/>
      <c r="O373" s="7"/>
    </row>
    <row r="374" spans="1:15" ht="13" x14ac:dyDescent="0.15">
      <c r="A374" s="7"/>
      <c r="B374" s="31"/>
      <c r="C374" s="31"/>
      <c r="D374" s="31"/>
      <c r="E374" s="7"/>
      <c r="F374" s="7"/>
      <c r="H374" s="40"/>
      <c r="I374" s="40"/>
      <c r="K374" s="7"/>
      <c r="N374" s="7"/>
      <c r="O374" s="7"/>
    </row>
    <row r="375" spans="1:15" ht="13" x14ac:dyDescent="0.15">
      <c r="A375" s="7"/>
      <c r="B375" s="31"/>
      <c r="C375" s="31"/>
      <c r="D375" s="31"/>
      <c r="E375" s="7"/>
      <c r="F375" s="7"/>
      <c r="H375" s="40"/>
      <c r="I375" s="40"/>
      <c r="K375" s="7"/>
      <c r="N375" s="7"/>
      <c r="O375" s="7"/>
    </row>
    <row r="376" spans="1:15" ht="13" x14ac:dyDescent="0.15">
      <c r="A376" s="7"/>
      <c r="B376" s="31"/>
      <c r="C376" s="31"/>
      <c r="D376" s="31"/>
      <c r="E376" s="7"/>
      <c r="F376" s="7"/>
      <c r="H376" s="40"/>
      <c r="I376" s="40"/>
      <c r="K376" s="7"/>
      <c r="N376" s="7"/>
      <c r="O376" s="7"/>
    </row>
    <row r="377" spans="1:15" ht="13" x14ac:dyDescent="0.15">
      <c r="A377" s="7"/>
      <c r="B377" s="31"/>
      <c r="C377" s="31"/>
      <c r="D377" s="31"/>
      <c r="E377" s="7"/>
      <c r="F377" s="7"/>
      <c r="H377" s="40"/>
      <c r="I377" s="40"/>
      <c r="K377" s="7"/>
      <c r="N377" s="7"/>
      <c r="O377" s="7"/>
    </row>
    <row r="378" spans="1:15" ht="13" x14ac:dyDescent="0.15">
      <c r="A378" s="7"/>
      <c r="B378" s="31"/>
      <c r="C378" s="31"/>
      <c r="D378" s="31"/>
      <c r="E378" s="7"/>
      <c r="F378" s="7"/>
      <c r="H378" s="40"/>
      <c r="I378" s="40"/>
      <c r="K378" s="7"/>
      <c r="N378" s="7"/>
      <c r="O378" s="7"/>
    </row>
    <row r="379" spans="1:15" ht="13" x14ac:dyDescent="0.15">
      <c r="A379" s="7"/>
      <c r="B379" s="31"/>
      <c r="C379" s="31"/>
      <c r="D379" s="31"/>
      <c r="E379" s="7"/>
      <c r="F379" s="7"/>
      <c r="H379" s="40"/>
      <c r="I379" s="40"/>
      <c r="K379" s="7"/>
      <c r="N379" s="7"/>
      <c r="O379" s="7"/>
    </row>
    <row r="380" spans="1:15" ht="13" x14ac:dyDescent="0.15">
      <c r="A380" s="7"/>
      <c r="B380" s="31"/>
      <c r="C380" s="31"/>
      <c r="D380" s="31"/>
      <c r="E380" s="7"/>
      <c r="F380" s="7"/>
      <c r="H380" s="40"/>
      <c r="I380" s="40"/>
      <c r="K380" s="7"/>
      <c r="N380" s="7"/>
      <c r="O380" s="7"/>
    </row>
    <row r="381" spans="1:15" ht="13" x14ac:dyDescent="0.15">
      <c r="A381" s="7"/>
      <c r="B381" s="31"/>
      <c r="C381" s="31"/>
      <c r="D381" s="31"/>
      <c r="E381" s="7"/>
      <c r="F381" s="7"/>
      <c r="H381" s="40"/>
      <c r="I381" s="40"/>
      <c r="K381" s="7"/>
      <c r="N381" s="7"/>
      <c r="O381" s="7"/>
    </row>
    <row r="382" spans="1:15" ht="13" x14ac:dyDescent="0.15">
      <c r="A382" s="7"/>
      <c r="B382" s="31"/>
      <c r="C382" s="31"/>
      <c r="D382" s="31"/>
      <c r="E382" s="7"/>
      <c r="F382" s="7"/>
      <c r="H382" s="40"/>
      <c r="I382" s="40"/>
      <c r="K382" s="7"/>
      <c r="N382" s="7"/>
      <c r="O382" s="7"/>
    </row>
    <row r="383" spans="1:15" ht="13" x14ac:dyDescent="0.15">
      <c r="A383" s="7"/>
      <c r="B383" s="31"/>
      <c r="C383" s="31"/>
      <c r="D383" s="31"/>
      <c r="E383" s="7"/>
      <c r="F383" s="7"/>
      <c r="H383" s="40"/>
      <c r="I383" s="40"/>
      <c r="K383" s="7"/>
      <c r="N383" s="7"/>
      <c r="O383" s="7"/>
    </row>
    <row r="384" spans="1:15" ht="13" x14ac:dyDescent="0.15">
      <c r="A384" s="7"/>
      <c r="B384" s="31"/>
      <c r="C384" s="31"/>
      <c r="D384" s="31"/>
      <c r="E384" s="7"/>
      <c r="F384" s="7"/>
      <c r="H384" s="40"/>
      <c r="I384" s="40"/>
      <c r="K384" s="7"/>
      <c r="N384" s="7"/>
      <c r="O384" s="7"/>
    </row>
    <row r="385" spans="1:15" ht="13" x14ac:dyDescent="0.15">
      <c r="A385" s="7"/>
      <c r="B385" s="31"/>
      <c r="C385" s="31"/>
      <c r="D385" s="31"/>
      <c r="E385" s="7"/>
      <c r="F385" s="7"/>
      <c r="H385" s="40"/>
      <c r="I385" s="40"/>
      <c r="K385" s="7"/>
      <c r="N385" s="7"/>
      <c r="O385" s="7"/>
    </row>
    <row r="386" spans="1:15" ht="13" x14ac:dyDescent="0.15">
      <c r="A386" s="7"/>
      <c r="B386" s="31"/>
      <c r="C386" s="31"/>
      <c r="D386" s="31"/>
      <c r="E386" s="7"/>
      <c r="F386" s="7"/>
      <c r="H386" s="40"/>
      <c r="I386" s="40"/>
      <c r="K386" s="7"/>
      <c r="N386" s="7"/>
      <c r="O386" s="7"/>
    </row>
    <row r="387" spans="1:15" ht="13" x14ac:dyDescent="0.15">
      <c r="A387" s="7"/>
      <c r="B387" s="31"/>
      <c r="C387" s="31"/>
      <c r="D387" s="31"/>
      <c r="E387" s="7"/>
      <c r="F387" s="7"/>
      <c r="H387" s="40"/>
      <c r="I387" s="40"/>
      <c r="K387" s="7"/>
      <c r="N387" s="7"/>
      <c r="O387" s="7"/>
    </row>
    <row r="388" spans="1:15" ht="13" x14ac:dyDescent="0.15">
      <c r="A388" s="7"/>
      <c r="B388" s="31"/>
      <c r="C388" s="31"/>
      <c r="D388" s="31"/>
      <c r="E388" s="7"/>
      <c r="F388" s="7"/>
      <c r="H388" s="40"/>
      <c r="I388" s="40"/>
      <c r="K388" s="7"/>
      <c r="N388" s="7"/>
      <c r="O388" s="7"/>
    </row>
    <row r="389" spans="1:15" ht="13" x14ac:dyDescent="0.15">
      <c r="A389" s="7"/>
      <c r="B389" s="31"/>
      <c r="C389" s="31"/>
      <c r="D389" s="31"/>
      <c r="E389" s="7"/>
      <c r="F389" s="7"/>
      <c r="H389" s="40"/>
      <c r="I389" s="40"/>
      <c r="K389" s="7"/>
      <c r="N389" s="7"/>
      <c r="O389" s="7"/>
    </row>
    <row r="390" spans="1:15" ht="13" x14ac:dyDescent="0.15">
      <c r="A390" s="7"/>
      <c r="B390" s="31"/>
      <c r="C390" s="31"/>
      <c r="D390" s="31"/>
      <c r="E390" s="7"/>
      <c r="F390" s="7"/>
      <c r="H390" s="40"/>
      <c r="I390" s="40"/>
      <c r="K390" s="7"/>
      <c r="N390" s="7"/>
      <c r="O390" s="7"/>
    </row>
    <row r="391" spans="1:15" ht="13" x14ac:dyDescent="0.15">
      <c r="A391" s="7"/>
      <c r="B391" s="31"/>
      <c r="C391" s="31"/>
      <c r="D391" s="31"/>
      <c r="E391" s="7"/>
      <c r="F391" s="7"/>
      <c r="H391" s="40"/>
      <c r="I391" s="40"/>
      <c r="K391" s="7"/>
      <c r="N391" s="7"/>
      <c r="O391" s="7"/>
    </row>
    <row r="392" spans="1:15" ht="13" x14ac:dyDescent="0.15">
      <c r="A392" s="7"/>
      <c r="B392" s="31"/>
      <c r="C392" s="31"/>
      <c r="D392" s="31"/>
      <c r="E392" s="7"/>
      <c r="F392" s="7"/>
      <c r="H392" s="40"/>
      <c r="I392" s="40"/>
      <c r="K392" s="7"/>
      <c r="N392" s="7"/>
      <c r="O392" s="7"/>
    </row>
    <row r="393" spans="1:15" ht="13" x14ac:dyDescent="0.15">
      <c r="A393" s="7"/>
      <c r="B393" s="31"/>
      <c r="C393" s="31"/>
      <c r="D393" s="31"/>
      <c r="E393" s="7"/>
      <c r="F393" s="7"/>
      <c r="H393" s="40"/>
      <c r="I393" s="40"/>
      <c r="K393" s="7"/>
      <c r="N393" s="7"/>
      <c r="O393" s="7"/>
    </row>
    <row r="394" spans="1:15" ht="13" x14ac:dyDescent="0.15">
      <c r="A394" s="7"/>
      <c r="B394" s="31"/>
      <c r="C394" s="31"/>
      <c r="D394" s="31"/>
      <c r="E394" s="7"/>
      <c r="F394" s="7"/>
      <c r="H394" s="40"/>
      <c r="I394" s="40"/>
      <c r="K394" s="7"/>
      <c r="N394" s="7"/>
      <c r="O394" s="7"/>
    </row>
    <row r="395" spans="1:15" ht="13" x14ac:dyDescent="0.15">
      <c r="A395" s="7"/>
      <c r="B395" s="31"/>
      <c r="C395" s="31"/>
      <c r="D395" s="31"/>
      <c r="E395" s="7"/>
      <c r="F395" s="7"/>
      <c r="H395" s="40"/>
      <c r="I395" s="40"/>
      <c r="K395" s="7"/>
      <c r="N395" s="7"/>
      <c r="O395" s="7"/>
    </row>
    <row r="396" spans="1:15" ht="13" x14ac:dyDescent="0.15">
      <c r="A396" s="7"/>
      <c r="B396" s="31"/>
      <c r="C396" s="31"/>
      <c r="D396" s="31"/>
      <c r="E396" s="7"/>
      <c r="F396" s="7"/>
      <c r="H396" s="40"/>
      <c r="I396" s="40"/>
      <c r="K396" s="7"/>
      <c r="N396" s="7"/>
      <c r="O396" s="7"/>
    </row>
    <row r="397" spans="1:15" ht="13" x14ac:dyDescent="0.15">
      <c r="A397" s="7"/>
      <c r="B397" s="31"/>
      <c r="C397" s="31"/>
      <c r="D397" s="31"/>
      <c r="E397" s="7"/>
      <c r="F397" s="7"/>
      <c r="H397" s="40"/>
      <c r="I397" s="40"/>
      <c r="K397" s="7"/>
      <c r="N397" s="7"/>
      <c r="O397" s="7"/>
    </row>
    <row r="398" spans="1:15" ht="13" x14ac:dyDescent="0.15">
      <c r="A398" s="7"/>
      <c r="B398" s="31"/>
      <c r="C398" s="31"/>
      <c r="D398" s="31"/>
      <c r="E398" s="7"/>
      <c r="F398" s="7"/>
      <c r="H398" s="40"/>
      <c r="I398" s="40"/>
      <c r="K398" s="7"/>
      <c r="N398" s="7"/>
      <c r="O398" s="7"/>
    </row>
    <row r="399" spans="1:15" ht="13" x14ac:dyDescent="0.15">
      <c r="A399" s="7"/>
      <c r="B399" s="31"/>
      <c r="C399" s="31"/>
      <c r="D399" s="31"/>
      <c r="E399" s="7"/>
      <c r="F399" s="7"/>
      <c r="H399" s="40"/>
      <c r="I399" s="40"/>
      <c r="K399" s="7"/>
      <c r="N399" s="7"/>
      <c r="O399" s="7"/>
    </row>
    <row r="400" spans="1:15" ht="13" x14ac:dyDescent="0.15">
      <c r="A400" s="7"/>
      <c r="B400" s="31"/>
      <c r="C400" s="31"/>
      <c r="D400" s="31"/>
      <c r="E400" s="7"/>
      <c r="F400" s="7"/>
      <c r="H400" s="40"/>
      <c r="I400" s="40"/>
      <c r="K400" s="7"/>
      <c r="N400" s="7"/>
      <c r="O400" s="7"/>
    </row>
    <row r="401" spans="1:15" ht="13" x14ac:dyDescent="0.15">
      <c r="A401" s="7"/>
      <c r="B401" s="31"/>
      <c r="C401" s="31"/>
      <c r="D401" s="31"/>
      <c r="E401" s="7"/>
      <c r="F401" s="7"/>
      <c r="H401" s="40"/>
      <c r="I401" s="40"/>
      <c r="K401" s="7"/>
      <c r="N401" s="7"/>
      <c r="O401" s="7"/>
    </row>
    <row r="402" spans="1:15" ht="13" x14ac:dyDescent="0.15">
      <c r="A402" s="7"/>
      <c r="B402" s="31"/>
      <c r="C402" s="31"/>
      <c r="D402" s="31"/>
      <c r="E402" s="7"/>
      <c r="F402" s="7"/>
      <c r="H402" s="40"/>
      <c r="I402" s="40"/>
      <c r="K402" s="7"/>
      <c r="N402" s="7"/>
      <c r="O402" s="7"/>
    </row>
    <row r="403" spans="1:15" ht="13" x14ac:dyDescent="0.15">
      <c r="A403" s="7"/>
      <c r="B403" s="31"/>
      <c r="C403" s="31"/>
      <c r="D403" s="31"/>
      <c r="E403" s="7"/>
      <c r="F403" s="7"/>
      <c r="H403" s="40"/>
      <c r="I403" s="40"/>
      <c r="K403" s="7"/>
      <c r="N403" s="7"/>
      <c r="O403" s="7"/>
    </row>
    <row r="404" spans="1:15" ht="13" x14ac:dyDescent="0.15">
      <c r="A404" s="7"/>
      <c r="B404" s="31"/>
      <c r="C404" s="31"/>
      <c r="D404" s="31"/>
      <c r="E404" s="7"/>
      <c r="F404" s="7"/>
      <c r="H404" s="40"/>
      <c r="I404" s="40"/>
      <c r="K404" s="7"/>
      <c r="N404" s="7"/>
      <c r="O404" s="7"/>
    </row>
    <row r="405" spans="1:15" ht="13" x14ac:dyDescent="0.15">
      <c r="A405" s="7"/>
      <c r="B405" s="31"/>
      <c r="C405" s="31"/>
      <c r="D405" s="31"/>
      <c r="E405" s="7"/>
      <c r="F405" s="7"/>
      <c r="H405" s="40"/>
      <c r="I405" s="40"/>
      <c r="K405" s="7"/>
      <c r="N405" s="7"/>
      <c r="O405" s="7"/>
    </row>
    <row r="406" spans="1:15" ht="13" x14ac:dyDescent="0.15">
      <c r="A406" s="7"/>
      <c r="B406" s="31"/>
      <c r="C406" s="31"/>
      <c r="D406" s="31"/>
      <c r="E406" s="7"/>
      <c r="F406" s="7"/>
      <c r="H406" s="40"/>
      <c r="I406" s="40"/>
      <c r="K406" s="7"/>
      <c r="N406" s="7"/>
      <c r="O406" s="7"/>
    </row>
    <row r="407" spans="1:15" ht="13" x14ac:dyDescent="0.15">
      <c r="A407" s="7"/>
      <c r="B407" s="31"/>
      <c r="C407" s="31"/>
      <c r="D407" s="31"/>
      <c r="E407" s="7"/>
      <c r="F407" s="7"/>
      <c r="H407" s="40"/>
      <c r="I407" s="40"/>
      <c r="K407" s="7"/>
      <c r="N407" s="7"/>
      <c r="O407" s="7"/>
    </row>
    <row r="408" spans="1:15" ht="13" x14ac:dyDescent="0.15">
      <c r="A408" s="7"/>
      <c r="B408" s="31"/>
      <c r="C408" s="31"/>
      <c r="D408" s="31"/>
      <c r="E408" s="7"/>
      <c r="F408" s="7"/>
      <c r="H408" s="40"/>
      <c r="I408" s="40"/>
      <c r="K408" s="7"/>
      <c r="N408" s="7"/>
      <c r="O408" s="7"/>
    </row>
    <row r="409" spans="1:15" ht="13" x14ac:dyDescent="0.15">
      <c r="A409" s="7"/>
      <c r="B409" s="31"/>
      <c r="C409" s="31"/>
      <c r="D409" s="31"/>
      <c r="E409" s="7"/>
      <c r="F409" s="7"/>
      <c r="H409" s="40"/>
      <c r="I409" s="40"/>
      <c r="K409" s="7"/>
      <c r="N409" s="7"/>
      <c r="O409" s="7"/>
    </row>
    <row r="410" spans="1:15" ht="13" x14ac:dyDescent="0.15">
      <c r="A410" s="7"/>
      <c r="B410" s="31"/>
      <c r="C410" s="31"/>
      <c r="D410" s="31"/>
      <c r="E410" s="7"/>
      <c r="F410" s="7"/>
      <c r="H410" s="40"/>
      <c r="I410" s="40"/>
      <c r="K410" s="7"/>
      <c r="N410" s="7"/>
      <c r="O410" s="7"/>
    </row>
    <row r="411" spans="1:15" ht="13" x14ac:dyDescent="0.15">
      <c r="A411" s="7"/>
      <c r="B411" s="31"/>
      <c r="C411" s="31"/>
      <c r="D411" s="31"/>
      <c r="E411" s="7"/>
      <c r="F411" s="7"/>
      <c r="H411" s="40"/>
      <c r="I411" s="40"/>
      <c r="K411" s="7"/>
      <c r="N411" s="7"/>
      <c r="O411" s="7"/>
    </row>
    <row r="412" spans="1:15" ht="13" x14ac:dyDescent="0.15">
      <c r="A412" s="7"/>
      <c r="B412" s="31"/>
      <c r="C412" s="31"/>
      <c r="D412" s="31"/>
      <c r="E412" s="7"/>
      <c r="F412" s="7"/>
      <c r="H412" s="40"/>
      <c r="I412" s="40"/>
      <c r="K412" s="7"/>
      <c r="N412" s="7"/>
      <c r="O412" s="7"/>
    </row>
    <row r="413" spans="1:15" ht="13" x14ac:dyDescent="0.15">
      <c r="A413" s="7"/>
      <c r="B413" s="31"/>
      <c r="C413" s="31"/>
      <c r="D413" s="31"/>
      <c r="E413" s="7"/>
      <c r="F413" s="7"/>
      <c r="H413" s="40"/>
      <c r="I413" s="40"/>
      <c r="K413" s="7"/>
      <c r="N413" s="7"/>
      <c r="O413" s="7"/>
    </row>
    <row r="414" spans="1:15" ht="13" x14ac:dyDescent="0.15">
      <c r="A414" s="7"/>
      <c r="B414" s="31"/>
      <c r="C414" s="31"/>
      <c r="D414" s="31"/>
      <c r="E414" s="7"/>
      <c r="F414" s="7"/>
      <c r="H414" s="40"/>
      <c r="I414" s="40"/>
      <c r="K414" s="7"/>
      <c r="N414" s="7"/>
      <c r="O414" s="7"/>
    </row>
    <row r="415" spans="1:15" ht="13" x14ac:dyDescent="0.15">
      <c r="A415" s="7"/>
      <c r="B415" s="31"/>
      <c r="C415" s="31"/>
      <c r="D415" s="31"/>
      <c r="E415" s="7"/>
      <c r="F415" s="7"/>
      <c r="H415" s="40"/>
      <c r="I415" s="40"/>
      <c r="K415" s="7"/>
      <c r="N415" s="7"/>
      <c r="O415" s="7"/>
    </row>
    <row r="416" spans="1:15" ht="13" x14ac:dyDescent="0.15">
      <c r="A416" s="7"/>
      <c r="B416" s="31"/>
      <c r="C416" s="31"/>
      <c r="D416" s="31"/>
      <c r="E416" s="7"/>
      <c r="F416" s="7"/>
      <c r="H416" s="40"/>
      <c r="I416" s="40"/>
      <c r="K416" s="7"/>
      <c r="N416" s="7"/>
      <c r="O416" s="7"/>
    </row>
    <row r="417" spans="1:15" ht="13" x14ac:dyDescent="0.15">
      <c r="A417" s="7"/>
      <c r="B417" s="31"/>
      <c r="C417" s="31"/>
      <c r="D417" s="31"/>
      <c r="E417" s="7"/>
      <c r="F417" s="7"/>
      <c r="H417" s="40"/>
      <c r="I417" s="40"/>
      <c r="K417" s="7"/>
      <c r="N417" s="7"/>
      <c r="O417" s="7"/>
    </row>
    <row r="418" spans="1:15" ht="13" x14ac:dyDescent="0.15">
      <c r="A418" s="7"/>
      <c r="B418" s="31"/>
      <c r="C418" s="31"/>
      <c r="D418" s="31"/>
      <c r="E418" s="7"/>
      <c r="F418" s="7"/>
      <c r="H418" s="40"/>
      <c r="I418" s="40"/>
      <c r="K418" s="7"/>
      <c r="N418" s="7"/>
      <c r="O418" s="7"/>
    </row>
    <row r="419" spans="1:15" ht="13" x14ac:dyDescent="0.15">
      <c r="A419" s="7"/>
      <c r="B419" s="31"/>
      <c r="C419" s="31"/>
      <c r="D419" s="31"/>
      <c r="E419" s="7"/>
      <c r="F419" s="7"/>
      <c r="H419" s="40"/>
      <c r="I419" s="40"/>
      <c r="K419" s="7"/>
      <c r="N419" s="7"/>
      <c r="O419" s="7"/>
    </row>
    <row r="420" spans="1:15" ht="13" x14ac:dyDescent="0.15">
      <c r="A420" s="7"/>
      <c r="B420" s="31"/>
      <c r="C420" s="31"/>
      <c r="D420" s="31"/>
      <c r="E420" s="7"/>
      <c r="F420" s="7"/>
      <c r="H420" s="40"/>
      <c r="I420" s="40"/>
      <c r="K420" s="7"/>
      <c r="N420" s="7"/>
      <c r="O420" s="7"/>
    </row>
    <row r="421" spans="1:15" ht="13" x14ac:dyDescent="0.15">
      <c r="A421" s="7"/>
      <c r="B421" s="31"/>
      <c r="C421" s="31"/>
      <c r="D421" s="31"/>
      <c r="E421" s="7"/>
      <c r="F421" s="7"/>
      <c r="H421" s="40"/>
      <c r="I421" s="40"/>
      <c r="K421" s="7"/>
      <c r="N421" s="7"/>
      <c r="O421" s="7"/>
    </row>
    <row r="422" spans="1:15" ht="13" x14ac:dyDescent="0.15">
      <c r="A422" s="7"/>
      <c r="B422" s="31"/>
      <c r="C422" s="31"/>
      <c r="D422" s="31"/>
      <c r="E422" s="7"/>
      <c r="F422" s="7"/>
      <c r="H422" s="40"/>
      <c r="I422" s="40"/>
      <c r="K422" s="7"/>
      <c r="N422" s="7"/>
      <c r="O422" s="7"/>
    </row>
    <row r="423" spans="1:15" ht="13" x14ac:dyDescent="0.15">
      <c r="A423" s="7"/>
      <c r="B423" s="31"/>
      <c r="C423" s="31"/>
      <c r="D423" s="31"/>
      <c r="E423" s="7"/>
      <c r="F423" s="7"/>
      <c r="H423" s="40"/>
      <c r="I423" s="40"/>
      <c r="K423" s="7"/>
      <c r="N423" s="7"/>
      <c r="O423" s="7"/>
    </row>
    <row r="424" spans="1:15" ht="13" x14ac:dyDescent="0.15">
      <c r="A424" s="7"/>
      <c r="B424" s="31"/>
      <c r="C424" s="31"/>
      <c r="D424" s="31"/>
      <c r="E424" s="7"/>
      <c r="F424" s="7"/>
      <c r="H424" s="40"/>
      <c r="I424" s="40"/>
      <c r="K424" s="7"/>
      <c r="N424" s="7"/>
      <c r="O424" s="7"/>
    </row>
    <row r="425" spans="1:15" ht="13" x14ac:dyDescent="0.15">
      <c r="A425" s="7"/>
      <c r="B425" s="31"/>
      <c r="C425" s="31"/>
      <c r="D425" s="31"/>
      <c r="E425" s="7"/>
      <c r="F425" s="7"/>
      <c r="H425" s="40"/>
      <c r="I425" s="40"/>
      <c r="K425" s="7"/>
      <c r="N425" s="7"/>
      <c r="O425" s="7"/>
    </row>
    <row r="426" spans="1:15" ht="13" x14ac:dyDescent="0.15">
      <c r="A426" s="7"/>
      <c r="B426" s="31"/>
      <c r="C426" s="31"/>
      <c r="D426" s="31"/>
      <c r="E426" s="7"/>
      <c r="F426" s="7"/>
      <c r="H426" s="40"/>
      <c r="I426" s="40"/>
      <c r="K426" s="7"/>
      <c r="N426" s="7"/>
      <c r="O426" s="7"/>
    </row>
    <row r="427" spans="1:15" ht="13" x14ac:dyDescent="0.15">
      <c r="A427" s="7"/>
      <c r="B427" s="31"/>
      <c r="C427" s="31"/>
      <c r="D427" s="31"/>
      <c r="E427" s="7"/>
      <c r="F427" s="7"/>
      <c r="H427" s="40"/>
      <c r="I427" s="40"/>
      <c r="K427" s="7"/>
      <c r="N427" s="7"/>
      <c r="O427" s="7"/>
    </row>
    <row r="428" spans="1:15" ht="13" x14ac:dyDescent="0.15">
      <c r="A428" s="7"/>
      <c r="B428" s="31"/>
      <c r="C428" s="31"/>
      <c r="D428" s="31"/>
      <c r="E428" s="7"/>
      <c r="F428" s="7"/>
      <c r="H428" s="40"/>
      <c r="I428" s="40"/>
      <c r="K428" s="7"/>
      <c r="N428" s="7"/>
      <c r="O428" s="7"/>
    </row>
    <row r="429" spans="1:15" ht="13" x14ac:dyDescent="0.15">
      <c r="A429" s="7"/>
      <c r="B429" s="31"/>
      <c r="C429" s="31"/>
      <c r="D429" s="31"/>
      <c r="E429" s="7"/>
      <c r="F429" s="7"/>
      <c r="H429" s="40"/>
      <c r="I429" s="40"/>
      <c r="K429" s="7"/>
      <c r="N429" s="7"/>
      <c r="O429" s="7"/>
    </row>
    <row r="430" spans="1:15" ht="13" x14ac:dyDescent="0.15">
      <c r="A430" s="7"/>
      <c r="B430" s="31"/>
      <c r="C430" s="31"/>
      <c r="D430" s="31"/>
      <c r="E430" s="7"/>
      <c r="F430" s="7"/>
      <c r="H430" s="40"/>
      <c r="I430" s="40"/>
      <c r="K430" s="7"/>
      <c r="N430" s="7"/>
      <c r="O430" s="7"/>
    </row>
    <row r="431" spans="1:15" ht="13" x14ac:dyDescent="0.15">
      <c r="A431" s="7"/>
      <c r="B431" s="31"/>
      <c r="C431" s="31"/>
      <c r="D431" s="31"/>
      <c r="E431" s="7"/>
      <c r="F431" s="7"/>
      <c r="H431" s="40"/>
      <c r="I431" s="40"/>
      <c r="K431" s="7"/>
      <c r="N431" s="7"/>
      <c r="O431" s="7"/>
    </row>
    <row r="432" spans="1:15" ht="13" x14ac:dyDescent="0.15">
      <c r="A432" s="7"/>
      <c r="B432" s="31"/>
      <c r="C432" s="31"/>
      <c r="D432" s="31"/>
      <c r="E432" s="7"/>
      <c r="F432" s="7"/>
      <c r="H432" s="40"/>
      <c r="I432" s="40"/>
      <c r="K432" s="7"/>
      <c r="N432" s="7"/>
      <c r="O432" s="7"/>
    </row>
    <row r="433" spans="1:15" ht="13" x14ac:dyDescent="0.15">
      <c r="A433" s="7"/>
      <c r="B433" s="31"/>
      <c r="C433" s="31"/>
      <c r="D433" s="31"/>
      <c r="E433" s="7"/>
      <c r="F433" s="7"/>
      <c r="H433" s="40"/>
      <c r="I433" s="40"/>
      <c r="K433" s="7"/>
      <c r="N433" s="7"/>
      <c r="O433" s="7"/>
    </row>
    <row r="434" spans="1:15" ht="13" x14ac:dyDescent="0.15">
      <c r="A434" s="7"/>
      <c r="B434" s="31"/>
      <c r="C434" s="31"/>
      <c r="D434" s="31"/>
      <c r="E434" s="7"/>
      <c r="F434" s="7"/>
      <c r="H434" s="40"/>
      <c r="I434" s="40"/>
      <c r="K434" s="7"/>
      <c r="N434" s="7"/>
      <c r="O434" s="7"/>
    </row>
    <row r="435" spans="1:15" ht="13" x14ac:dyDescent="0.15">
      <c r="A435" s="7"/>
      <c r="B435" s="31"/>
      <c r="C435" s="31"/>
      <c r="D435" s="31"/>
      <c r="E435" s="7"/>
      <c r="F435" s="7"/>
      <c r="H435" s="40"/>
      <c r="I435" s="40"/>
      <c r="K435" s="7"/>
      <c r="N435" s="7"/>
      <c r="O435" s="7"/>
    </row>
    <row r="436" spans="1:15" ht="13" x14ac:dyDescent="0.15">
      <c r="A436" s="7"/>
      <c r="B436" s="31"/>
      <c r="C436" s="31"/>
      <c r="D436" s="31"/>
      <c r="E436" s="7"/>
      <c r="F436" s="7"/>
      <c r="H436" s="40"/>
      <c r="I436" s="40"/>
      <c r="K436" s="7"/>
      <c r="N436" s="7"/>
      <c r="O436" s="7"/>
    </row>
    <row r="437" spans="1:15" ht="13" x14ac:dyDescent="0.15">
      <c r="A437" s="7"/>
      <c r="B437" s="31"/>
      <c r="C437" s="31"/>
      <c r="D437" s="31"/>
      <c r="E437" s="7"/>
      <c r="F437" s="7"/>
      <c r="H437" s="40"/>
      <c r="I437" s="40"/>
      <c r="K437" s="7"/>
      <c r="N437" s="7"/>
      <c r="O437" s="7"/>
    </row>
    <row r="438" spans="1:15" ht="13" x14ac:dyDescent="0.15">
      <c r="A438" s="7"/>
      <c r="B438" s="31"/>
      <c r="C438" s="31"/>
      <c r="D438" s="31"/>
      <c r="E438" s="7"/>
      <c r="F438" s="7"/>
      <c r="H438" s="40"/>
      <c r="I438" s="40"/>
      <c r="K438" s="7"/>
      <c r="N438" s="7"/>
      <c r="O438" s="7"/>
    </row>
    <row r="439" spans="1:15" ht="13" x14ac:dyDescent="0.15">
      <c r="A439" s="7"/>
      <c r="B439" s="31"/>
      <c r="C439" s="31"/>
      <c r="D439" s="31"/>
      <c r="E439" s="7"/>
      <c r="F439" s="7"/>
      <c r="H439" s="40"/>
      <c r="I439" s="40"/>
      <c r="K439" s="7"/>
      <c r="N439" s="7"/>
      <c r="O439" s="7"/>
    </row>
    <row r="440" spans="1:15" ht="13" x14ac:dyDescent="0.15">
      <c r="A440" s="7"/>
      <c r="B440" s="31"/>
      <c r="C440" s="31"/>
      <c r="D440" s="31"/>
      <c r="E440" s="7"/>
      <c r="F440" s="7"/>
      <c r="H440" s="40"/>
      <c r="I440" s="40"/>
      <c r="K440" s="7"/>
      <c r="N440" s="7"/>
      <c r="O440" s="7"/>
    </row>
    <row r="441" spans="1:15" ht="13" x14ac:dyDescent="0.15">
      <c r="A441" s="7"/>
      <c r="B441" s="31"/>
      <c r="C441" s="31"/>
      <c r="D441" s="31"/>
      <c r="E441" s="7"/>
      <c r="F441" s="7"/>
      <c r="H441" s="40"/>
      <c r="I441" s="40"/>
      <c r="K441" s="7"/>
      <c r="N441" s="7"/>
      <c r="O441" s="7"/>
    </row>
    <row r="442" spans="1:15" ht="13" x14ac:dyDescent="0.15">
      <c r="A442" s="7"/>
      <c r="B442" s="31"/>
      <c r="C442" s="31"/>
      <c r="D442" s="31"/>
      <c r="E442" s="7"/>
      <c r="F442" s="7"/>
      <c r="H442" s="40"/>
      <c r="I442" s="40"/>
      <c r="K442" s="7"/>
      <c r="N442" s="7"/>
      <c r="O442" s="7"/>
    </row>
    <row r="443" spans="1:15" ht="13" x14ac:dyDescent="0.15">
      <c r="A443" s="7"/>
      <c r="B443" s="31"/>
      <c r="C443" s="31"/>
      <c r="D443" s="31"/>
      <c r="E443" s="7"/>
      <c r="F443" s="7"/>
      <c r="H443" s="40"/>
      <c r="I443" s="40"/>
      <c r="K443" s="7"/>
      <c r="N443" s="7"/>
      <c r="O443" s="7"/>
    </row>
    <row r="444" spans="1:15" ht="13" x14ac:dyDescent="0.15">
      <c r="A444" s="7"/>
      <c r="B444" s="31"/>
      <c r="C444" s="31"/>
      <c r="D444" s="31"/>
      <c r="E444" s="7"/>
      <c r="F444" s="7"/>
      <c r="H444" s="40"/>
      <c r="I444" s="40"/>
      <c r="K444" s="7"/>
      <c r="N444" s="7"/>
      <c r="O444" s="7"/>
    </row>
    <row r="445" spans="1:15" ht="13" x14ac:dyDescent="0.15">
      <c r="A445" s="7"/>
      <c r="B445" s="31"/>
      <c r="C445" s="31"/>
      <c r="D445" s="31"/>
      <c r="E445" s="7"/>
      <c r="F445" s="7"/>
      <c r="H445" s="40"/>
      <c r="I445" s="40"/>
      <c r="K445" s="7"/>
      <c r="N445" s="7"/>
      <c r="O445" s="7"/>
    </row>
    <row r="446" spans="1:15" ht="13" x14ac:dyDescent="0.15">
      <c r="A446" s="7"/>
      <c r="B446" s="31"/>
      <c r="C446" s="31"/>
      <c r="D446" s="31"/>
      <c r="E446" s="7"/>
      <c r="F446" s="7"/>
      <c r="H446" s="40"/>
      <c r="I446" s="40"/>
      <c r="K446" s="7"/>
      <c r="N446" s="7"/>
      <c r="O446" s="7"/>
    </row>
    <row r="447" spans="1:15" ht="13" x14ac:dyDescent="0.15">
      <c r="A447" s="7"/>
      <c r="B447" s="31"/>
      <c r="C447" s="31"/>
      <c r="D447" s="31"/>
      <c r="E447" s="7"/>
      <c r="F447" s="7"/>
      <c r="H447" s="40"/>
      <c r="I447" s="40"/>
      <c r="K447" s="7"/>
      <c r="N447" s="7"/>
      <c r="O447" s="7"/>
    </row>
    <row r="448" spans="1:15" ht="13" x14ac:dyDescent="0.15">
      <c r="A448" s="7"/>
      <c r="B448" s="31"/>
      <c r="C448" s="31"/>
      <c r="D448" s="31"/>
      <c r="E448" s="7"/>
      <c r="F448" s="7"/>
      <c r="H448" s="40"/>
      <c r="I448" s="40"/>
      <c r="K448" s="7"/>
      <c r="N448" s="7"/>
      <c r="O448" s="7"/>
    </row>
    <row r="449" spans="1:15" ht="13" x14ac:dyDescent="0.15">
      <c r="A449" s="7"/>
      <c r="B449" s="31"/>
      <c r="C449" s="31"/>
      <c r="D449" s="31"/>
      <c r="E449" s="7"/>
      <c r="F449" s="7"/>
      <c r="H449" s="40"/>
      <c r="I449" s="40"/>
      <c r="K449" s="7"/>
      <c r="N449" s="7"/>
      <c r="O449" s="7"/>
    </row>
    <row r="450" spans="1:15" ht="13" x14ac:dyDescent="0.15">
      <c r="A450" s="7"/>
      <c r="B450" s="31"/>
      <c r="C450" s="31"/>
      <c r="D450" s="31"/>
      <c r="E450" s="7"/>
      <c r="F450" s="7"/>
      <c r="H450" s="40"/>
      <c r="I450" s="40"/>
      <c r="K450" s="7"/>
      <c r="N450" s="7"/>
      <c r="O450" s="7"/>
    </row>
    <row r="451" spans="1:15" ht="13" x14ac:dyDescent="0.15">
      <c r="A451" s="7"/>
      <c r="B451" s="31"/>
      <c r="C451" s="31"/>
      <c r="D451" s="31"/>
      <c r="E451" s="7"/>
      <c r="F451" s="7"/>
      <c r="H451" s="40"/>
      <c r="I451" s="40"/>
      <c r="K451" s="7"/>
      <c r="N451" s="7"/>
      <c r="O451" s="7"/>
    </row>
    <row r="452" spans="1:15" ht="13" x14ac:dyDescent="0.15">
      <c r="A452" s="7"/>
      <c r="B452" s="31"/>
      <c r="C452" s="31"/>
      <c r="D452" s="31"/>
      <c r="E452" s="7"/>
      <c r="F452" s="7"/>
      <c r="H452" s="40"/>
      <c r="I452" s="40"/>
      <c r="K452" s="7"/>
      <c r="N452" s="7"/>
      <c r="O452" s="7"/>
    </row>
    <row r="453" spans="1:15" ht="13" x14ac:dyDescent="0.15">
      <c r="A453" s="7"/>
      <c r="B453" s="31"/>
      <c r="C453" s="31"/>
      <c r="D453" s="31"/>
      <c r="E453" s="7"/>
      <c r="F453" s="7"/>
      <c r="H453" s="40"/>
      <c r="I453" s="40"/>
      <c r="K453" s="7"/>
      <c r="N453" s="7"/>
      <c r="O453" s="7"/>
    </row>
    <row r="454" spans="1:15" ht="13" x14ac:dyDescent="0.15">
      <c r="A454" s="7"/>
      <c r="B454" s="31"/>
      <c r="C454" s="31"/>
      <c r="D454" s="31"/>
      <c r="E454" s="7"/>
      <c r="F454" s="7"/>
      <c r="H454" s="40"/>
      <c r="I454" s="40"/>
      <c r="K454" s="7"/>
      <c r="N454" s="7"/>
      <c r="O454" s="7"/>
    </row>
    <row r="455" spans="1:15" ht="13" x14ac:dyDescent="0.15">
      <c r="A455" s="7"/>
      <c r="B455" s="31"/>
      <c r="C455" s="31"/>
      <c r="D455" s="31"/>
      <c r="E455" s="7"/>
      <c r="F455" s="7"/>
      <c r="H455" s="40"/>
      <c r="I455" s="40"/>
      <c r="K455" s="7"/>
      <c r="N455" s="7"/>
      <c r="O455" s="7"/>
    </row>
    <row r="456" spans="1:15" ht="13" x14ac:dyDescent="0.15">
      <c r="A456" s="7"/>
      <c r="B456" s="31"/>
      <c r="C456" s="31"/>
      <c r="D456" s="31"/>
      <c r="E456" s="7"/>
      <c r="F456" s="7"/>
      <c r="H456" s="40"/>
      <c r="I456" s="40"/>
      <c r="K456" s="7"/>
      <c r="N456" s="7"/>
      <c r="O456" s="7"/>
    </row>
    <row r="457" spans="1:15" ht="13" x14ac:dyDescent="0.15">
      <c r="A457" s="7"/>
      <c r="B457" s="31"/>
      <c r="C457" s="31"/>
      <c r="D457" s="31"/>
      <c r="E457" s="7"/>
      <c r="F457" s="7"/>
      <c r="H457" s="40"/>
      <c r="I457" s="40"/>
      <c r="K457" s="7"/>
      <c r="N457" s="7"/>
      <c r="O457" s="7"/>
    </row>
    <row r="458" spans="1:15" ht="13" x14ac:dyDescent="0.15">
      <c r="A458" s="7"/>
      <c r="B458" s="31"/>
      <c r="C458" s="31"/>
      <c r="D458" s="31"/>
      <c r="E458" s="7"/>
      <c r="F458" s="7"/>
      <c r="H458" s="40"/>
      <c r="I458" s="40"/>
      <c r="K458" s="7"/>
      <c r="N458" s="7"/>
      <c r="O458" s="7"/>
    </row>
    <row r="459" spans="1:15" ht="13" x14ac:dyDescent="0.15">
      <c r="A459" s="7"/>
      <c r="B459" s="31"/>
      <c r="C459" s="31"/>
      <c r="D459" s="31"/>
      <c r="E459" s="7"/>
      <c r="F459" s="7"/>
      <c r="H459" s="40"/>
      <c r="I459" s="40"/>
      <c r="K459" s="7"/>
      <c r="N459" s="7"/>
      <c r="O459" s="7"/>
    </row>
    <row r="460" spans="1:15" ht="13" x14ac:dyDescent="0.15">
      <c r="A460" s="7"/>
      <c r="B460" s="31"/>
      <c r="C460" s="31"/>
      <c r="D460" s="31"/>
      <c r="E460" s="7"/>
      <c r="F460" s="7"/>
      <c r="H460" s="40"/>
      <c r="I460" s="40"/>
      <c r="K460" s="7"/>
      <c r="N460" s="7"/>
      <c r="O460" s="7"/>
    </row>
    <row r="461" spans="1:15" ht="13" x14ac:dyDescent="0.15">
      <c r="A461" s="7"/>
      <c r="B461" s="31"/>
      <c r="C461" s="31"/>
      <c r="D461" s="31"/>
      <c r="E461" s="7"/>
      <c r="F461" s="7"/>
      <c r="H461" s="40"/>
      <c r="I461" s="40"/>
      <c r="K461" s="7"/>
      <c r="N461" s="7"/>
      <c r="O461" s="7"/>
    </row>
    <row r="462" spans="1:15" ht="13" x14ac:dyDescent="0.15">
      <c r="A462" s="7"/>
      <c r="B462" s="31"/>
      <c r="C462" s="31"/>
      <c r="D462" s="31"/>
      <c r="E462" s="7"/>
      <c r="F462" s="7"/>
      <c r="H462" s="40"/>
      <c r="I462" s="40"/>
      <c r="K462" s="7"/>
      <c r="N462" s="7"/>
      <c r="O462" s="7"/>
    </row>
    <row r="463" spans="1:15" ht="13" x14ac:dyDescent="0.15">
      <c r="A463" s="7"/>
      <c r="B463" s="31"/>
      <c r="C463" s="31"/>
      <c r="D463" s="31"/>
      <c r="E463" s="7"/>
      <c r="F463" s="7"/>
      <c r="H463" s="40"/>
      <c r="I463" s="40"/>
      <c r="K463" s="7"/>
      <c r="N463" s="7"/>
      <c r="O463" s="7"/>
    </row>
    <row r="464" spans="1:15" ht="13" x14ac:dyDescent="0.15">
      <c r="A464" s="7"/>
      <c r="B464" s="31"/>
      <c r="C464" s="31"/>
      <c r="D464" s="31"/>
      <c r="E464" s="7"/>
      <c r="F464" s="7"/>
      <c r="H464" s="40"/>
      <c r="I464" s="40"/>
      <c r="K464" s="7"/>
      <c r="N464" s="7"/>
      <c r="O464" s="7"/>
    </row>
    <row r="465" spans="1:15" ht="13" x14ac:dyDescent="0.15">
      <c r="A465" s="7"/>
      <c r="B465" s="31"/>
      <c r="C465" s="31"/>
      <c r="D465" s="31"/>
      <c r="E465" s="7"/>
      <c r="F465" s="7"/>
      <c r="H465" s="40"/>
      <c r="I465" s="40"/>
      <c r="K465" s="7"/>
      <c r="N465" s="7"/>
      <c r="O465" s="7"/>
    </row>
    <row r="466" spans="1:15" ht="13" x14ac:dyDescent="0.15">
      <c r="A466" s="7"/>
      <c r="B466" s="31"/>
      <c r="C466" s="31"/>
      <c r="D466" s="31"/>
      <c r="E466" s="7"/>
      <c r="F466" s="7"/>
      <c r="H466" s="40"/>
      <c r="I466" s="40"/>
      <c r="K466" s="7"/>
      <c r="N466" s="7"/>
      <c r="O466" s="7"/>
    </row>
    <row r="467" spans="1:15" ht="13" x14ac:dyDescent="0.15">
      <c r="A467" s="7"/>
      <c r="B467" s="31"/>
      <c r="C467" s="31"/>
      <c r="D467" s="31"/>
      <c r="E467" s="7"/>
      <c r="F467" s="7"/>
      <c r="H467" s="40"/>
      <c r="I467" s="40"/>
      <c r="K467" s="7"/>
      <c r="N467" s="7"/>
      <c r="O467" s="7"/>
    </row>
    <row r="468" spans="1:15" ht="13" x14ac:dyDescent="0.15">
      <c r="A468" s="7"/>
      <c r="B468" s="31"/>
      <c r="C468" s="31"/>
      <c r="D468" s="31"/>
      <c r="E468" s="7"/>
      <c r="F468" s="7"/>
      <c r="H468" s="40"/>
      <c r="I468" s="40"/>
      <c r="K468" s="7"/>
      <c r="N468" s="7"/>
      <c r="O468" s="7"/>
    </row>
    <row r="469" spans="1:15" ht="13" x14ac:dyDescent="0.15">
      <c r="A469" s="7"/>
      <c r="B469" s="31"/>
      <c r="C469" s="31"/>
      <c r="D469" s="31"/>
      <c r="E469" s="7"/>
      <c r="F469" s="7"/>
      <c r="H469" s="40"/>
      <c r="I469" s="40"/>
      <c r="K469" s="7"/>
      <c r="N469" s="7"/>
      <c r="O469" s="7"/>
    </row>
    <row r="470" spans="1:15" ht="13" x14ac:dyDescent="0.15">
      <c r="A470" s="7"/>
      <c r="B470" s="31"/>
      <c r="C470" s="31"/>
      <c r="D470" s="31"/>
      <c r="E470" s="7"/>
      <c r="F470" s="7"/>
      <c r="H470" s="40"/>
      <c r="I470" s="40"/>
      <c r="K470" s="7"/>
      <c r="N470" s="7"/>
      <c r="O470" s="7"/>
    </row>
    <row r="471" spans="1:15" ht="13" x14ac:dyDescent="0.15">
      <c r="A471" s="7"/>
      <c r="B471" s="31"/>
      <c r="C471" s="31"/>
      <c r="D471" s="31"/>
      <c r="E471" s="7"/>
      <c r="F471" s="7"/>
      <c r="H471" s="40"/>
      <c r="I471" s="40"/>
      <c r="K471" s="7"/>
      <c r="N471" s="7"/>
      <c r="O471" s="7"/>
    </row>
    <row r="472" spans="1:15" ht="13" x14ac:dyDescent="0.15">
      <c r="A472" s="7"/>
      <c r="B472" s="31"/>
      <c r="C472" s="31"/>
      <c r="D472" s="31"/>
      <c r="E472" s="7"/>
      <c r="F472" s="7"/>
      <c r="H472" s="40"/>
      <c r="I472" s="40"/>
      <c r="K472" s="7"/>
      <c r="N472" s="7"/>
      <c r="O472" s="7"/>
    </row>
    <row r="473" spans="1:15" ht="13" x14ac:dyDescent="0.15">
      <c r="A473" s="7"/>
      <c r="B473" s="31"/>
      <c r="C473" s="31"/>
      <c r="D473" s="31"/>
      <c r="E473" s="7"/>
      <c r="F473" s="7"/>
      <c r="H473" s="40"/>
      <c r="I473" s="40"/>
      <c r="K473" s="7"/>
      <c r="N473" s="7"/>
      <c r="O473" s="7"/>
    </row>
    <row r="474" spans="1:15" ht="13" x14ac:dyDescent="0.15">
      <c r="A474" s="7"/>
      <c r="B474" s="31"/>
      <c r="C474" s="31"/>
      <c r="D474" s="31"/>
      <c r="E474" s="7"/>
      <c r="F474" s="7"/>
      <c r="H474" s="40"/>
      <c r="I474" s="40"/>
      <c r="K474" s="7"/>
      <c r="N474" s="7"/>
      <c r="O474" s="7"/>
    </row>
    <row r="475" spans="1:15" ht="13" x14ac:dyDescent="0.15">
      <c r="A475" s="7"/>
      <c r="B475" s="31"/>
      <c r="C475" s="31"/>
      <c r="D475" s="31"/>
      <c r="E475" s="7"/>
      <c r="F475" s="7"/>
      <c r="H475" s="40"/>
      <c r="I475" s="40"/>
      <c r="K475" s="7"/>
      <c r="N475" s="7"/>
      <c r="O475" s="7"/>
    </row>
    <row r="476" spans="1:15" ht="13" x14ac:dyDescent="0.15">
      <c r="A476" s="7"/>
      <c r="B476" s="31"/>
      <c r="C476" s="31"/>
      <c r="D476" s="31"/>
      <c r="E476" s="7"/>
      <c r="F476" s="7"/>
      <c r="H476" s="40"/>
      <c r="I476" s="40"/>
      <c r="K476" s="7"/>
      <c r="N476" s="7"/>
      <c r="O476" s="7"/>
    </row>
    <row r="477" spans="1:15" ht="13" x14ac:dyDescent="0.15">
      <c r="A477" s="7"/>
      <c r="B477" s="31"/>
      <c r="C477" s="31"/>
      <c r="D477" s="31"/>
      <c r="E477" s="7"/>
      <c r="F477" s="7"/>
      <c r="H477" s="40"/>
      <c r="I477" s="40"/>
      <c r="K477" s="7"/>
      <c r="N477" s="7"/>
      <c r="O477" s="7"/>
    </row>
    <row r="478" spans="1:15" ht="13" x14ac:dyDescent="0.15">
      <c r="A478" s="7"/>
      <c r="B478" s="31"/>
      <c r="C478" s="31"/>
      <c r="D478" s="31"/>
      <c r="E478" s="7"/>
      <c r="F478" s="7"/>
      <c r="H478" s="40"/>
      <c r="I478" s="40"/>
      <c r="K478" s="7"/>
      <c r="N478" s="7"/>
      <c r="O478" s="7"/>
    </row>
    <row r="479" spans="1:15" ht="13" x14ac:dyDescent="0.15">
      <c r="A479" s="7"/>
      <c r="B479" s="31"/>
      <c r="C479" s="31"/>
      <c r="D479" s="31"/>
      <c r="E479" s="7"/>
      <c r="F479" s="7"/>
      <c r="H479" s="40"/>
      <c r="I479" s="40"/>
      <c r="K479" s="7"/>
      <c r="N479" s="7"/>
      <c r="O479" s="7"/>
    </row>
    <row r="480" spans="1:15" ht="13" x14ac:dyDescent="0.15">
      <c r="A480" s="7"/>
      <c r="B480" s="31"/>
      <c r="C480" s="31"/>
      <c r="D480" s="31"/>
      <c r="E480" s="7"/>
      <c r="F480" s="7"/>
      <c r="H480" s="40"/>
      <c r="I480" s="40"/>
      <c r="K480" s="7"/>
      <c r="N480" s="7"/>
      <c r="O480" s="7"/>
    </row>
    <row r="481" spans="1:15" ht="13" x14ac:dyDescent="0.15">
      <c r="A481" s="7"/>
      <c r="B481" s="31"/>
      <c r="C481" s="31"/>
      <c r="D481" s="31"/>
      <c r="E481" s="7"/>
      <c r="F481" s="7"/>
      <c r="H481" s="40"/>
      <c r="I481" s="40"/>
      <c r="K481" s="7"/>
      <c r="N481" s="7"/>
      <c r="O481" s="7"/>
    </row>
    <row r="482" spans="1:15" ht="13" x14ac:dyDescent="0.15">
      <c r="A482" s="7"/>
      <c r="B482" s="31"/>
      <c r="C482" s="31"/>
      <c r="D482" s="31"/>
      <c r="E482" s="7"/>
      <c r="F482" s="7"/>
      <c r="H482" s="40"/>
      <c r="I482" s="40"/>
      <c r="K482" s="7"/>
      <c r="N482" s="7"/>
      <c r="O482" s="7"/>
    </row>
    <row r="483" spans="1:15" ht="13" x14ac:dyDescent="0.15">
      <c r="A483" s="7"/>
      <c r="B483" s="31"/>
      <c r="C483" s="31"/>
      <c r="D483" s="31"/>
      <c r="E483" s="7"/>
      <c r="F483" s="7"/>
      <c r="H483" s="40"/>
      <c r="I483" s="40"/>
      <c r="K483" s="7"/>
      <c r="N483" s="7"/>
      <c r="O483" s="7"/>
    </row>
    <row r="484" spans="1:15" ht="13" x14ac:dyDescent="0.15">
      <c r="A484" s="7"/>
      <c r="B484" s="31"/>
      <c r="C484" s="31"/>
      <c r="D484" s="31"/>
      <c r="E484" s="7"/>
      <c r="F484" s="7"/>
      <c r="H484" s="40"/>
      <c r="I484" s="40"/>
      <c r="K484" s="7"/>
      <c r="N484" s="7"/>
      <c r="O484" s="7"/>
    </row>
    <row r="485" spans="1:15" ht="13" x14ac:dyDescent="0.15">
      <c r="A485" s="7"/>
      <c r="B485" s="31"/>
      <c r="C485" s="31"/>
      <c r="D485" s="31"/>
      <c r="E485" s="7"/>
      <c r="F485" s="7"/>
      <c r="H485" s="40"/>
      <c r="I485" s="40"/>
      <c r="K485" s="7"/>
      <c r="N485" s="7"/>
      <c r="O485" s="7"/>
    </row>
    <row r="486" spans="1:15" ht="13" x14ac:dyDescent="0.15">
      <c r="A486" s="7"/>
      <c r="B486" s="31"/>
      <c r="C486" s="31"/>
      <c r="D486" s="31"/>
      <c r="E486" s="7"/>
      <c r="F486" s="7"/>
      <c r="H486" s="40"/>
      <c r="I486" s="40"/>
      <c r="K486" s="7"/>
      <c r="N486" s="7"/>
      <c r="O486" s="7"/>
    </row>
    <row r="487" spans="1:15" ht="13" x14ac:dyDescent="0.15">
      <c r="A487" s="7"/>
      <c r="B487" s="31"/>
      <c r="C487" s="31"/>
      <c r="D487" s="31"/>
      <c r="E487" s="7"/>
      <c r="F487" s="7"/>
      <c r="H487" s="40"/>
      <c r="I487" s="40"/>
      <c r="K487" s="7"/>
      <c r="N487" s="7"/>
      <c r="O487" s="7"/>
    </row>
    <row r="488" spans="1:15" ht="13" x14ac:dyDescent="0.15">
      <c r="A488" s="7"/>
      <c r="B488" s="31"/>
      <c r="C488" s="31"/>
      <c r="D488" s="31"/>
      <c r="E488" s="7"/>
      <c r="F488" s="7"/>
      <c r="H488" s="40"/>
      <c r="I488" s="40"/>
      <c r="K488" s="7"/>
      <c r="N488" s="7"/>
      <c r="O488" s="7"/>
    </row>
    <row r="489" spans="1:15" ht="13" x14ac:dyDescent="0.15">
      <c r="A489" s="7"/>
      <c r="B489" s="31"/>
      <c r="C489" s="31"/>
      <c r="D489" s="31"/>
      <c r="E489" s="7"/>
      <c r="F489" s="7"/>
      <c r="H489" s="40"/>
      <c r="I489" s="40"/>
      <c r="K489" s="7"/>
      <c r="N489" s="7"/>
      <c r="O489" s="7"/>
    </row>
    <row r="490" spans="1:15" ht="13" x14ac:dyDescent="0.15">
      <c r="A490" s="7"/>
      <c r="B490" s="31"/>
      <c r="C490" s="31"/>
      <c r="D490" s="31"/>
      <c r="E490" s="7"/>
      <c r="F490" s="7"/>
      <c r="H490" s="40"/>
      <c r="I490" s="40"/>
      <c r="K490" s="7"/>
      <c r="N490" s="7"/>
      <c r="O490" s="7"/>
    </row>
    <row r="491" spans="1:15" ht="13" x14ac:dyDescent="0.15">
      <c r="A491" s="7"/>
      <c r="B491" s="31"/>
      <c r="C491" s="31"/>
      <c r="D491" s="31"/>
      <c r="E491" s="7"/>
      <c r="F491" s="7"/>
      <c r="H491" s="40"/>
      <c r="I491" s="40"/>
      <c r="K491" s="7"/>
      <c r="N491" s="7"/>
      <c r="O491" s="7"/>
    </row>
    <row r="492" spans="1:15" ht="13" x14ac:dyDescent="0.15">
      <c r="A492" s="7"/>
      <c r="B492" s="31"/>
      <c r="C492" s="31"/>
      <c r="D492" s="31"/>
      <c r="E492" s="7"/>
      <c r="F492" s="7"/>
      <c r="H492" s="40"/>
      <c r="I492" s="40"/>
      <c r="K492" s="7"/>
      <c r="N492" s="7"/>
      <c r="O492" s="7"/>
    </row>
    <row r="493" spans="1:15" ht="13" x14ac:dyDescent="0.15">
      <c r="A493" s="7"/>
      <c r="B493" s="31"/>
      <c r="C493" s="31"/>
      <c r="D493" s="31"/>
      <c r="E493" s="7"/>
      <c r="F493" s="7"/>
      <c r="H493" s="40"/>
      <c r="I493" s="40"/>
      <c r="K493" s="7"/>
      <c r="N493" s="7"/>
      <c r="O493" s="7"/>
    </row>
    <row r="494" spans="1:15" ht="13" x14ac:dyDescent="0.15">
      <c r="A494" s="7"/>
      <c r="B494" s="31"/>
      <c r="C494" s="31"/>
      <c r="D494" s="31"/>
      <c r="E494" s="7"/>
      <c r="F494" s="7"/>
      <c r="H494" s="40"/>
      <c r="I494" s="40"/>
      <c r="K494" s="7"/>
      <c r="N494" s="7"/>
      <c r="O494" s="7"/>
    </row>
    <row r="495" spans="1:15" ht="13" x14ac:dyDescent="0.15">
      <c r="A495" s="7"/>
      <c r="B495" s="31"/>
      <c r="C495" s="31"/>
      <c r="D495" s="31"/>
      <c r="E495" s="7"/>
      <c r="F495" s="7"/>
      <c r="H495" s="40"/>
      <c r="I495" s="40"/>
      <c r="K495" s="7"/>
      <c r="N495" s="7"/>
      <c r="O495" s="7"/>
    </row>
    <row r="496" spans="1:15" ht="13" x14ac:dyDescent="0.15">
      <c r="A496" s="7"/>
      <c r="B496" s="31"/>
      <c r="C496" s="31"/>
      <c r="D496" s="31"/>
      <c r="E496" s="7"/>
      <c r="F496" s="7"/>
      <c r="H496" s="40"/>
      <c r="I496" s="40"/>
      <c r="K496" s="7"/>
      <c r="N496" s="7"/>
      <c r="O496" s="7"/>
    </row>
    <row r="497" spans="1:15" ht="13" x14ac:dyDescent="0.15">
      <c r="A497" s="7"/>
      <c r="B497" s="31"/>
      <c r="C497" s="31"/>
      <c r="D497" s="31"/>
      <c r="E497" s="7"/>
      <c r="F497" s="7"/>
      <c r="H497" s="40"/>
      <c r="I497" s="40"/>
      <c r="K497" s="7"/>
      <c r="N497" s="7"/>
      <c r="O497" s="7"/>
    </row>
    <row r="498" spans="1:15" ht="13" x14ac:dyDescent="0.15">
      <c r="A498" s="7"/>
      <c r="B498" s="31"/>
      <c r="C498" s="31"/>
      <c r="D498" s="31"/>
      <c r="E498" s="7"/>
      <c r="F498" s="7"/>
      <c r="H498" s="40"/>
      <c r="I498" s="40"/>
      <c r="K498" s="7"/>
      <c r="N498" s="7"/>
      <c r="O498" s="7"/>
    </row>
    <row r="499" spans="1:15" ht="13" x14ac:dyDescent="0.15">
      <c r="A499" s="7"/>
      <c r="B499" s="31"/>
      <c r="C499" s="31"/>
      <c r="D499" s="31"/>
      <c r="E499" s="7"/>
      <c r="F499" s="7"/>
      <c r="H499" s="40"/>
      <c r="I499" s="40"/>
      <c r="K499" s="7"/>
      <c r="N499" s="7"/>
      <c r="O499" s="7"/>
    </row>
    <row r="500" spans="1:15" ht="13" x14ac:dyDescent="0.15">
      <c r="A500" s="7"/>
      <c r="B500" s="31"/>
      <c r="C500" s="31"/>
      <c r="D500" s="31"/>
      <c r="E500" s="7"/>
      <c r="F500" s="7"/>
      <c r="H500" s="40"/>
      <c r="I500" s="40"/>
      <c r="K500" s="7"/>
      <c r="N500" s="7"/>
      <c r="O500" s="7"/>
    </row>
    <row r="501" spans="1:15" ht="13" x14ac:dyDescent="0.15">
      <c r="A501" s="7"/>
      <c r="B501" s="31"/>
      <c r="C501" s="31"/>
      <c r="D501" s="31"/>
      <c r="E501" s="7"/>
      <c r="F501" s="7"/>
      <c r="H501" s="40"/>
      <c r="I501" s="40"/>
      <c r="K501" s="7"/>
      <c r="N501" s="7"/>
      <c r="O501" s="7"/>
    </row>
    <row r="502" spans="1:15" ht="13" x14ac:dyDescent="0.15">
      <c r="A502" s="7"/>
      <c r="B502" s="31"/>
      <c r="C502" s="31"/>
      <c r="D502" s="31"/>
      <c r="E502" s="7"/>
      <c r="F502" s="7"/>
      <c r="H502" s="40"/>
      <c r="I502" s="40"/>
      <c r="K502" s="7"/>
      <c r="N502" s="7"/>
      <c r="O502" s="7"/>
    </row>
    <row r="503" spans="1:15" ht="13" x14ac:dyDescent="0.15">
      <c r="A503" s="7"/>
      <c r="B503" s="31"/>
      <c r="C503" s="31"/>
      <c r="D503" s="31"/>
      <c r="E503" s="7"/>
      <c r="F503" s="7"/>
      <c r="H503" s="40"/>
      <c r="I503" s="40"/>
      <c r="K503" s="7"/>
      <c r="N503" s="7"/>
      <c r="O503" s="7"/>
    </row>
    <row r="504" spans="1:15" ht="13" x14ac:dyDescent="0.15">
      <c r="A504" s="7"/>
      <c r="B504" s="31"/>
      <c r="C504" s="31"/>
      <c r="D504" s="31"/>
      <c r="E504" s="7"/>
      <c r="F504" s="7"/>
      <c r="H504" s="40"/>
      <c r="I504" s="40"/>
      <c r="K504" s="7"/>
      <c r="N504" s="7"/>
      <c r="O504" s="7"/>
    </row>
    <row r="505" spans="1:15" ht="13" x14ac:dyDescent="0.15">
      <c r="A505" s="7"/>
      <c r="B505" s="31"/>
      <c r="C505" s="31"/>
      <c r="D505" s="31"/>
      <c r="E505" s="7"/>
      <c r="F505" s="7"/>
      <c r="H505" s="40"/>
      <c r="I505" s="40"/>
      <c r="K505" s="7"/>
      <c r="N505" s="7"/>
      <c r="O505" s="7"/>
    </row>
    <row r="506" spans="1:15" ht="13" x14ac:dyDescent="0.15">
      <c r="A506" s="7"/>
      <c r="B506" s="31"/>
      <c r="C506" s="31"/>
      <c r="D506" s="31"/>
      <c r="E506" s="7"/>
      <c r="F506" s="7"/>
      <c r="H506" s="40"/>
      <c r="I506" s="40"/>
      <c r="K506" s="7"/>
      <c r="N506" s="7"/>
      <c r="O506" s="7"/>
    </row>
    <row r="507" spans="1:15" ht="13" x14ac:dyDescent="0.15">
      <c r="A507" s="7"/>
      <c r="B507" s="31"/>
      <c r="C507" s="31"/>
      <c r="D507" s="31"/>
      <c r="E507" s="7"/>
      <c r="F507" s="7"/>
      <c r="H507" s="40"/>
      <c r="I507" s="40"/>
      <c r="K507" s="7"/>
      <c r="N507" s="7"/>
      <c r="O507" s="7"/>
    </row>
    <row r="508" spans="1:15" ht="13" x14ac:dyDescent="0.15">
      <c r="A508" s="7"/>
      <c r="B508" s="31"/>
      <c r="C508" s="31"/>
      <c r="D508" s="31"/>
      <c r="E508" s="7"/>
      <c r="F508" s="7"/>
      <c r="H508" s="40"/>
      <c r="I508" s="40"/>
      <c r="K508" s="7"/>
      <c r="N508" s="7"/>
      <c r="O508" s="7"/>
    </row>
    <row r="509" spans="1:15" ht="13" x14ac:dyDescent="0.15">
      <c r="A509" s="7"/>
      <c r="B509" s="31"/>
      <c r="C509" s="31"/>
      <c r="D509" s="31"/>
      <c r="E509" s="7"/>
      <c r="F509" s="7"/>
      <c r="H509" s="40"/>
      <c r="I509" s="40"/>
      <c r="K509" s="7"/>
      <c r="N509" s="7"/>
      <c r="O509" s="7"/>
    </row>
    <row r="510" spans="1:15" ht="13" x14ac:dyDescent="0.15">
      <c r="A510" s="7"/>
      <c r="B510" s="31"/>
      <c r="C510" s="31"/>
      <c r="D510" s="31"/>
      <c r="E510" s="7"/>
      <c r="F510" s="7"/>
      <c r="H510" s="40"/>
      <c r="I510" s="40"/>
      <c r="K510" s="7"/>
      <c r="N510" s="7"/>
      <c r="O510" s="7"/>
    </row>
    <row r="511" spans="1:15" ht="13" x14ac:dyDescent="0.15">
      <c r="A511" s="7"/>
      <c r="B511" s="31"/>
      <c r="C511" s="31"/>
      <c r="D511" s="31"/>
      <c r="E511" s="7"/>
      <c r="F511" s="7"/>
      <c r="H511" s="40"/>
      <c r="I511" s="40"/>
      <c r="K511" s="7"/>
      <c r="N511" s="7"/>
      <c r="O511" s="7"/>
    </row>
    <row r="512" spans="1:15" ht="13" x14ac:dyDescent="0.15">
      <c r="A512" s="7"/>
      <c r="B512" s="31"/>
      <c r="C512" s="31"/>
      <c r="D512" s="31"/>
      <c r="E512" s="7"/>
      <c r="F512" s="7"/>
      <c r="H512" s="40"/>
      <c r="I512" s="40"/>
      <c r="K512" s="7"/>
      <c r="N512" s="7"/>
      <c r="O512" s="7"/>
    </row>
    <row r="513" spans="1:15" ht="13" x14ac:dyDescent="0.15">
      <c r="A513" s="7"/>
      <c r="B513" s="31"/>
      <c r="C513" s="31"/>
      <c r="D513" s="31"/>
      <c r="E513" s="7"/>
      <c r="F513" s="7"/>
      <c r="H513" s="40"/>
      <c r="I513" s="40"/>
      <c r="K513" s="7"/>
      <c r="N513" s="7"/>
      <c r="O513" s="7"/>
    </row>
    <row r="514" spans="1:15" ht="13" x14ac:dyDescent="0.15">
      <c r="A514" s="7"/>
      <c r="B514" s="31"/>
      <c r="C514" s="31"/>
      <c r="D514" s="31"/>
      <c r="E514" s="7"/>
      <c r="F514" s="7"/>
      <c r="H514" s="40"/>
      <c r="I514" s="40"/>
      <c r="K514" s="7"/>
      <c r="N514" s="7"/>
      <c r="O514" s="7"/>
    </row>
    <row r="515" spans="1:15" ht="13" x14ac:dyDescent="0.15">
      <c r="A515" s="7"/>
      <c r="B515" s="31"/>
      <c r="C515" s="31"/>
      <c r="D515" s="31"/>
      <c r="E515" s="7"/>
      <c r="F515" s="7"/>
      <c r="H515" s="40"/>
      <c r="I515" s="40"/>
      <c r="K515" s="7"/>
      <c r="N515" s="7"/>
      <c r="O515" s="7"/>
    </row>
    <row r="516" spans="1:15" ht="13" x14ac:dyDescent="0.15">
      <c r="A516" s="7"/>
      <c r="B516" s="31"/>
      <c r="C516" s="31"/>
      <c r="D516" s="31"/>
      <c r="E516" s="7"/>
      <c r="F516" s="7"/>
      <c r="H516" s="40"/>
      <c r="I516" s="40"/>
      <c r="K516" s="7"/>
      <c r="N516" s="7"/>
      <c r="O516" s="7"/>
    </row>
    <row r="517" spans="1:15" ht="13" x14ac:dyDescent="0.15">
      <c r="A517" s="7"/>
      <c r="B517" s="31"/>
      <c r="C517" s="31"/>
      <c r="D517" s="31"/>
      <c r="E517" s="7"/>
      <c r="F517" s="7"/>
      <c r="H517" s="40"/>
      <c r="I517" s="40"/>
      <c r="K517" s="7"/>
      <c r="N517" s="7"/>
      <c r="O517" s="7"/>
    </row>
    <row r="518" spans="1:15" ht="13" x14ac:dyDescent="0.15">
      <c r="A518" s="7"/>
      <c r="B518" s="31"/>
      <c r="C518" s="31"/>
      <c r="D518" s="31"/>
      <c r="E518" s="7"/>
      <c r="F518" s="7"/>
      <c r="H518" s="40"/>
      <c r="I518" s="40"/>
      <c r="K518" s="7"/>
      <c r="N518" s="7"/>
      <c r="O518" s="7"/>
    </row>
    <row r="519" spans="1:15" ht="13" x14ac:dyDescent="0.15">
      <c r="A519" s="7"/>
      <c r="B519" s="31"/>
      <c r="C519" s="31"/>
      <c r="D519" s="31"/>
      <c r="E519" s="7"/>
      <c r="F519" s="7"/>
      <c r="H519" s="40"/>
      <c r="I519" s="40"/>
      <c r="K519" s="7"/>
      <c r="N519" s="7"/>
      <c r="O519" s="7"/>
    </row>
    <row r="520" spans="1:15" ht="13" x14ac:dyDescent="0.15">
      <c r="A520" s="7"/>
      <c r="B520" s="31"/>
      <c r="C520" s="31"/>
      <c r="D520" s="31"/>
      <c r="E520" s="7"/>
      <c r="F520" s="7"/>
      <c r="H520" s="40"/>
      <c r="I520" s="40"/>
      <c r="K520" s="7"/>
      <c r="N520" s="7"/>
      <c r="O520" s="7"/>
    </row>
    <row r="521" spans="1:15" ht="13" x14ac:dyDescent="0.15">
      <c r="A521" s="7"/>
      <c r="B521" s="31"/>
      <c r="C521" s="31"/>
      <c r="D521" s="31"/>
      <c r="E521" s="7"/>
      <c r="F521" s="7"/>
      <c r="H521" s="40"/>
      <c r="I521" s="40"/>
      <c r="K521" s="7"/>
      <c r="N521" s="7"/>
      <c r="O521" s="7"/>
    </row>
    <row r="522" spans="1:15" ht="13" x14ac:dyDescent="0.15">
      <c r="A522" s="7"/>
      <c r="B522" s="31"/>
      <c r="C522" s="31"/>
      <c r="D522" s="31"/>
      <c r="E522" s="7"/>
      <c r="F522" s="7"/>
      <c r="H522" s="40"/>
      <c r="I522" s="40"/>
      <c r="K522" s="7"/>
      <c r="N522" s="7"/>
      <c r="O522" s="7"/>
    </row>
    <row r="523" spans="1:15" ht="13" x14ac:dyDescent="0.15">
      <c r="A523" s="7"/>
      <c r="B523" s="31"/>
      <c r="C523" s="31"/>
      <c r="D523" s="31"/>
      <c r="E523" s="7"/>
      <c r="F523" s="7"/>
      <c r="H523" s="40"/>
      <c r="I523" s="40"/>
      <c r="K523" s="7"/>
      <c r="N523" s="7"/>
      <c r="O523" s="7"/>
    </row>
    <row r="524" spans="1:15" ht="13" x14ac:dyDescent="0.15">
      <c r="A524" s="7"/>
      <c r="B524" s="31"/>
      <c r="C524" s="31"/>
      <c r="D524" s="31"/>
      <c r="E524" s="7"/>
      <c r="F524" s="7"/>
      <c r="H524" s="40"/>
      <c r="I524" s="40"/>
      <c r="K524" s="7"/>
      <c r="N524" s="7"/>
      <c r="O524" s="7"/>
    </row>
    <row r="525" spans="1:15" ht="13" x14ac:dyDescent="0.15">
      <c r="A525" s="7"/>
      <c r="B525" s="31"/>
      <c r="C525" s="31"/>
      <c r="D525" s="31"/>
      <c r="E525" s="7"/>
      <c r="F525" s="7"/>
      <c r="H525" s="40"/>
      <c r="I525" s="40"/>
      <c r="K525" s="7"/>
      <c r="N525" s="7"/>
      <c r="O525" s="7"/>
    </row>
    <row r="526" spans="1:15" ht="13" x14ac:dyDescent="0.15">
      <c r="A526" s="7"/>
      <c r="B526" s="31"/>
      <c r="C526" s="31"/>
      <c r="D526" s="31"/>
      <c r="E526" s="7"/>
      <c r="F526" s="7"/>
      <c r="H526" s="40"/>
      <c r="I526" s="40"/>
      <c r="K526" s="7"/>
      <c r="N526" s="7"/>
      <c r="O526" s="7"/>
    </row>
    <row r="527" spans="1:15" ht="13" x14ac:dyDescent="0.15">
      <c r="A527" s="7"/>
      <c r="B527" s="31"/>
      <c r="C527" s="31"/>
      <c r="D527" s="31"/>
      <c r="E527" s="7"/>
      <c r="F527" s="7"/>
      <c r="H527" s="40"/>
      <c r="I527" s="40"/>
      <c r="K527" s="7"/>
      <c r="N527" s="7"/>
      <c r="O527" s="7"/>
    </row>
    <row r="528" spans="1:15" ht="13" x14ac:dyDescent="0.15">
      <c r="A528" s="7"/>
      <c r="B528" s="31"/>
      <c r="C528" s="31"/>
      <c r="D528" s="31"/>
      <c r="E528" s="7"/>
      <c r="F528" s="7"/>
      <c r="H528" s="40"/>
      <c r="I528" s="40"/>
      <c r="K528" s="7"/>
      <c r="N528" s="7"/>
      <c r="O528" s="7"/>
    </row>
    <row r="529" spans="1:15" ht="13" x14ac:dyDescent="0.15">
      <c r="A529" s="7"/>
      <c r="B529" s="31"/>
      <c r="C529" s="31"/>
      <c r="D529" s="31"/>
      <c r="E529" s="7"/>
      <c r="F529" s="7"/>
      <c r="H529" s="40"/>
      <c r="I529" s="40"/>
      <c r="K529" s="7"/>
      <c r="N529" s="7"/>
      <c r="O529" s="7"/>
    </row>
    <row r="530" spans="1:15" ht="13" x14ac:dyDescent="0.15">
      <c r="A530" s="7"/>
      <c r="B530" s="31"/>
      <c r="C530" s="31"/>
      <c r="D530" s="31"/>
      <c r="E530" s="7"/>
      <c r="F530" s="7"/>
      <c r="H530" s="40"/>
      <c r="I530" s="40"/>
      <c r="K530" s="7"/>
      <c r="N530" s="7"/>
      <c r="O530" s="7"/>
    </row>
    <row r="531" spans="1:15" ht="13" x14ac:dyDescent="0.15">
      <c r="A531" s="7"/>
      <c r="B531" s="31"/>
      <c r="C531" s="31"/>
      <c r="D531" s="31"/>
      <c r="E531" s="7"/>
      <c r="F531" s="7"/>
      <c r="H531" s="40"/>
      <c r="I531" s="40"/>
      <c r="K531" s="7"/>
      <c r="N531" s="7"/>
      <c r="O531" s="7"/>
    </row>
    <row r="532" spans="1:15" ht="13" x14ac:dyDescent="0.15">
      <c r="A532" s="7"/>
      <c r="B532" s="31"/>
      <c r="C532" s="31"/>
      <c r="D532" s="31"/>
      <c r="E532" s="7"/>
      <c r="F532" s="7"/>
      <c r="H532" s="40"/>
      <c r="I532" s="40"/>
      <c r="K532" s="7"/>
      <c r="N532" s="7"/>
      <c r="O532" s="7"/>
    </row>
    <row r="533" spans="1:15" ht="13" x14ac:dyDescent="0.15">
      <c r="A533" s="7"/>
      <c r="B533" s="31"/>
      <c r="C533" s="31"/>
      <c r="D533" s="31"/>
      <c r="E533" s="7"/>
      <c r="F533" s="7"/>
      <c r="H533" s="40"/>
      <c r="I533" s="40"/>
      <c r="K533" s="7"/>
      <c r="N533" s="7"/>
      <c r="O533" s="7"/>
    </row>
    <row r="534" spans="1:15" ht="13" x14ac:dyDescent="0.15">
      <c r="A534" s="7"/>
      <c r="B534" s="31"/>
      <c r="C534" s="31"/>
      <c r="D534" s="31"/>
      <c r="E534" s="7"/>
      <c r="F534" s="7"/>
      <c r="H534" s="40"/>
      <c r="I534" s="40"/>
      <c r="K534" s="7"/>
      <c r="N534" s="7"/>
      <c r="O534" s="7"/>
    </row>
    <row r="535" spans="1:15" ht="13" x14ac:dyDescent="0.15">
      <c r="A535" s="7"/>
      <c r="B535" s="31"/>
      <c r="C535" s="31"/>
      <c r="D535" s="31"/>
      <c r="E535" s="7"/>
      <c r="F535" s="7"/>
      <c r="H535" s="40"/>
      <c r="I535" s="40"/>
      <c r="K535" s="7"/>
      <c r="N535" s="7"/>
      <c r="O535" s="7"/>
    </row>
    <row r="536" spans="1:15" ht="13" x14ac:dyDescent="0.15">
      <c r="A536" s="7"/>
      <c r="B536" s="31"/>
      <c r="C536" s="31"/>
      <c r="D536" s="31"/>
      <c r="E536" s="7"/>
      <c r="F536" s="7"/>
      <c r="H536" s="40"/>
      <c r="I536" s="40"/>
      <c r="K536" s="7"/>
      <c r="N536" s="7"/>
      <c r="O536" s="7"/>
    </row>
    <row r="537" spans="1:15" ht="13" x14ac:dyDescent="0.15">
      <c r="A537" s="7"/>
      <c r="B537" s="31"/>
      <c r="C537" s="31"/>
      <c r="D537" s="31"/>
      <c r="E537" s="7"/>
      <c r="F537" s="7"/>
      <c r="H537" s="40"/>
      <c r="I537" s="40"/>
      <c r="K537" s="7"/>
      <c r="N537" s="7"/>
      <c r="O537" s="7"/>
    </row>
    <row r="538" spans="1:15" ht="13" x14ac:dyDescent="0.15">
      <c r="A538" s="7"/>
      <c r="B538" s="31"/>
      <c r="C538" s="31"/>
      <c r="D538" s="31"/>
      <c r="E538" s="7"/>
      <c r="F538" s="7"/>
      <c r="H538" s="40"/>
      <c r="I538" s="40"/>
      <c r="K538" s="7"/>
      <c r="N538" s="7"/>
      <c r="O538" s="7"/>
    </row>
    <row r="539" spans="1:15" ht="13" x14ac:dyDescent="0.15">
      <c r="A539" s="7"/>
      <c r="B539" s="31"/>
      <c r="C539" s="31"/>
      <c r="D539" s="31"/>
      <c r="E539" s="7"/>
      <c r="F539" s="7"/>
      <c r="H539" s="40"/>
      <c r="I539" s="40"/>
      <c r="K539" s="7"/>
      <c r="N539" s="7"/>
      <c r="O539" s="7"/>
    </row>
    <row r="540" spans="1:15" ht="13" x14ac:dyDescent="0.15">
      <c r="A540" s="7"/>
      <c r="B540" s="31"/>
      <c r="C540" s="31"/>
      <c r="D540" s="31"/>
      <c r="E540" s="7"/>
      <c r="F540" s="7"/>
      <c r="H540" s="40"/>
      <c r="I540" s="40"/>
      <c r="K540" s="7"/>
      <c r="N540" s="7"/>
      <c r="O540" s="7"/>
    </row>
    <row r="541" spans="1:15" ht="13" x14ac:dyDescent="0.15">
      <c r="A541" s="7"/>
      <c r="B541" s="31"/>
      <c r="C541" s="31"/>
      <c r="D541" s="31"/>
      <c r="E541" s="7"/>
      <c r="F541" s="7"/>
      <c r="H541" s="40"/>
      <c r="I541" s="40"/>
      <c r="K541" s="7"/>
      <c r="N541" s="7"/>
      <c r="O541" s="7"/>
    </row>
    <row r="542" spans="1:15" ht="13" x14ac:dyDescent="0.15">
      <c r="A542" s="7"/>
      <c r="B542" s="31"/>
      <c r="C542" s="31"/>
      <c r="D542" s="31"/>
      <c r="E542" s="7"/>
      <c r="F542" s="7"/>
      <c r="H542" s="40"/>
      <c r="I542" s="40"/>
      <c r="K542" s="7"/>
      <c r="N542" s="7"/>
      <c r="O542" s="7"/>
    </row>
    <row r="543" spans="1:15" ht="13" x14ac:dyDescent="0.15">
      <c r="A543" s="7"/>
      <c r="B543" s="31"/>
      <c r="C543" s="31"/>
      <c r="D543" s="31"/>
      <c r="E543" s="7"/>
      <c r="F543" s="7"/>
      <c r="H543" s="40"/>
      <c r="I543" s="40"/>
      <c r="K543" s="7"/>
      <c r="N543" s="7"/>
      <c r="O543" s="7"/>
    </row>
    <row r="544" spans="1:15" ht="13" x14ac:dyDescent="0.15">
      <c r="A544" s="7"/>
      <c r="B544" s="31"/>
      <c r="C544" s="31"/>
      <c r="D544" s="31"/>
      <c r="E544" s="7"/>
      <c r="F544" s="7"/>
      <c r="H544" s="40"/>
      <c r="I544" s="40"/>
      <c r="K544" s="7"/>
      <c r="N544" s="7"/>
      <c r="O544" s="7"/>
    </row>
    <row r="545" spans="1:15" ht="13" x14ac:dyDescent="0.15">
      <c r="A545" s="7"/>
      <c r="B545" s="31"/>
      <c r="C545" s="31"/>
      <c r="D545" s="31"/>
      <c r="E545" s="7"/>
      <c r="F545" s="7"/>
      <c r="H545" s="40"/>
      <c r="I545" s="40"/>
      <c r="K545" s="7"/>
      <c r="N545" s="7"/>
      <c r="O545" s="7"/>
    </row>
    <row r="546" spans="1:15" ht="13" x14ac:dyDescent="0.15">
      <c r="A546" s="7"/>
      <c r="B546" s="31"/>
      <c r="C546" s="31"/>
      <c r="D546" s="31"/>
      <c r="E546" s="7"/>
      <c r="F546" s="7"/>
      <c r="H546" s="40"/>
      <c r="I546" s="40"/>
      <c r="K546" s="7"/>
      <c r="N546" s="7"/>
      <c r="O546" s="7"/>
    </row>
    <row r="547" spans="1:15" ht="13" x14ac:dyDescent="0.15">
      <c r="A547" s="7"/>
      <c r="B547" s="31"/>
      <c r="C547" s="31"/>
      <c r="D547" s="31"/>
      <c r="E547" s="7"/>
      <c r="F547" s="7"/>
      <c r="H547" s="40"/>
      <c r="I547" s="40"/>
      <c r="K547" s="7"/>
      <c r="N547" s="7"/>
      <c r="O547" s="7"/>
    </row>
    <row r="548" spans="1:15" ht="13" x14ac:dyDescent="0.15">
      <c r="A548" s="7"/>
      <c r="B548" s="31"/>
      <c r="C548" s="31"/>
      <c r="D548" s="31"/>
      <c r="E548" s="7"/>
      <c r="F548" s="7"/>
      <c r="H548" s="40"/>
      <c r="I548" s="40"/>
      <c r="K548" s="7"/>
      <c r="N548" s="7"/>
      <c r="O548" s="7"/>
    </row>
    <row r="549" spans="1:15" ht="13" x14ac:dyDescent="0.15">
      <c r="A549" s="7"/>
      <c r="B549" s="31"/>
      <c r="C549" s="31"/>
      <c r="D549" s="31"/>
      <c r="E549" s="7"/>
      <c r="F549" s="7"/>
      <c r="H549" s="40"/>
      <c r="I549" s="40"/>
      <c r="K549" s="7"/>
      <c r="N549" s="7"/>
      <c r="O549" s="7"/>
    </row>
    <row r="550" spans="1:15" ht="13" x14ac:dyDescent="0.15">
      <c r="A550" s="7"/>
      <c r="B550" s="31"/>
      <c r="C550" s="31"/>
      <c r="D550" s="31"/>
      <c r="E550" s="7"/>
      <c r="F550" s="7"/>
      <c r="H550" s="40"/>
      <c r="I550" s="40"/>
      <c r="K550" s="7"/>
      <c r="N550" s="7"/>
      <c r="O550" s="7"/>
    </row>
    <row r="551" spans="1:15" ht="13" x14ac:dyDescent="0.15">
      <c r="A551" s="7"/>
      <c r="B551" s="31"/>
      <c r="C551" s="31"/>
      <c r="D551" s="31"/>
      <c r="E551" s="7"/>
      <c r="F551" s="7"/>
      <c r="H551" s="40"/>
      <c r="I551" s="40"/>
      <c r="K551" s="7"/>
      <c r="N551" s="7"/>
      <c r="O551" s="7"/>
    </row>
    <row r="552" spans="1:15" ht="13" x14ac:dyDescent="0.15">
      <c r="A552" s="7"/>
      <c r="B552" s="31"/>
      <c r="C552" s="31"/>
      <c r="D552" s="31"/>
      <c r="E552" s="7"/>
      <c r="F552" s="7"/>
      <c r="H552" s="40"/>
      <c r="I552" s="40"/>
      <c r="K552" s="7"/>
      <c r="N552" s="7"/>
      <c r="O552" s="7"/>
    </row>
    <row r="553" spans="1:15" ht="13" x14ac:dyDescent="0.15">
      <c r="A553" s="7"/>
      <c r="B553" s="31"/>
      <c r="C553" s="31"/>
      <c r="D553" s="31"/>
      <c r="E553" s="7"/>
      <c r="F553" s="7"/>
      <c r="H553" s="40"/>
      <c r="I553" s="40"/>
      <c r="K553" s="7"/>
      <c r="N553" s="7"/>
      <c r="O553" s="7"/>
    </row>
    <row r="554" spans="1:15" ht="13" x14ac:dyDescent="0.15">
      <c r="A554" s="7"/>
      <c r="B554" s="31"/>
      <c r="C554" s="31"/>
      <c r="D554" s="31"/>
      <c r="E554" s="7"/>
      <c r="F554" s="7"/>
      <c r="H554" s="40"/>
      <c r="I554" s="40"/>
      <c r="K554" s="7"/>
      <c r="N554" s="7"/>
      <c r="O554" s="7"/>
    </row>
    <row r="555" spans="1:15" ht="13" x14ac:dyDescent="0.15">
      <c r="A555" s="7"/>
      <c r="B555" s="31"/>
      <c r="C555" s="31"/>
      <c r="D555" s="31"/>
      <c r="E555" s="7"/>
      <c r="F555" s="7"/>
      <c r="H555" s="40"/>
      <c r="I555" s="40"/>
      <c r="K555" s="7"/>
      <c r="N555" s="7"/>
      <c r="O555" s="7"/>
    </row>
    <row r="556" spans="1:15" ht="13" x14ac:dyDescent="0.15">
      <c r="A556" s="7"/>
      <c r="B556" s="31"/>
      <c r="C556" s="31"/>
      <c r="D556" s="31"/>
      <c r="E556" s="7"/>
      <c r="F556" s="7"/>
      <c r="H556" s="40"/>
      <c r="I556" s="40"/>
      <c r="K556" s="7"/>
      <c r="N556" s="7"/>
      <c r="O556" s="7"/>
    </row>
    <row r="557" spans="1:15" ht="13" x14ac:dyDescent="0.15">
      <c r="A557" s="7"/>
      <c r="B557" s="31"/>
      <c r="C557" s="31"/>
      <c r="D557" s="31"/>
      <c r="E557" s="7"/>
      <c r="F557" s="7"/>
      <c r="H557" s="40"/>
      <c r="I557" s="40"/>
      <c r="K557" s="7"/>
      <c r="N557" s="7"/>
      <c r="O557" s="7"/>
    </row>
    <row r="558" spans="1:15" ht="13" x14ac:dyDescent="0.15">
      <c r="A558" s="7"/>
      <c r="B558" s="31"/>
      <c r="C558" s="31"/>
      <c r="D558" s="31"/>
      <c r="E558" s="7"/>
      <c r="F558" s="7"/>
      <c r="H558" s="40"/>
      <c r="I558" s="40"/>
      <c r="K558" s="7"/>
      <c r="N558" s="7"/>
      <c r="O558" s="7"/>
    </row>
    <row r="559" spans="1:15" ht="13" x14ac:dyDescent="0.15">
      <c r="A559" s="7"/>
      <c r="B559" s="31"/>
      <c r="C559" s="31"/>
      <c r="D559" s="31"/>
      <c r="E559" s="7"/>
      <c r="F559" s="7"/>
      <c r="H559" s="40"/>
      <c r="I559" s="40"/>
      <c r="K559" s="7"/>
      <c r="N559" s="7"/>
      <c r="O559" s="7"/>
    </row>
    <row r="560" spans="1:15" ht="13" x14ac:dyDescent="0.15">
      <c r="A560" s="7"/>
      <c r="B560" s="31"/>
      <c r="C560" s="31"/>
      <c r="D560" s="31"/>
      <c r="E560" s="7"/>
      <c r="F560" s="7"/>
      <c r="H560" s="40"/>
      <c r="I560" s="40"/>
      <c r="K560" s="7"/>
      <c r="N560" s="7"/>
      <c r="O560" s="7"/>
    </row>
    <row r="561" spans="1:15" ht="13" x14ac:dyDescent="0.15">
      <c r="A561" s="7"/>
      <c r="B561" s="31"/>
      <c r="C561" s="31"/>
      <c r="D561" s="31"/>
      <c r="E561" s="7"/>
      <c r="F561" s="7"/>
      <c r="H561" s="40"/>
      <c r="I561" s="40"/>
      <c r="K561" s="7"/>
      <c r="N561" s="7"/>
      <c r="O561" s="7"/>
    </row>
    <row r="562" spans="1:15" ht="13" x14ac:dyDescent="0.15">
      <c r="A562" s="7"/>
      <c r="B562" s="31"/>
      <c r="C562" s="31"/>
      <c r="D562" s="31"/>
      <c r="E562" s="7"/>
      <c r="F562" s="7"/>
      <c r="H562" s="40"/>
      <c r="I562" s="40"/>
      <c r="K562" s="7"/>
      <c r="N562" s="7"/>
      <c r="O562" s="7"/>
    </row>
    <row r="563" spans="1:15" ht="13" x14ac:dyDescent="0.15">
      <c r="A563" s="7"/>
      <c r="B563" s="31"/>
      <c r="C563" s="31"/>
      <c r="D563" s="31"/>
      <c r="E563" s="7"/>
      <c r="F563" s="7"/>
      <c r="H563" s="40"/>
      <c r="I563" s="40"/>
      <c r="K563" s="7"/>
      <c r="N563" s="7"/>
      <c r="O563" s="7"/>
    </row>
    <row r="564" spans="1:15" ht="13" x14ac:dyDescent="0.15">
      <c r="A564" s="7"/>
      <c r="B564" s="31"/>
      <c r="C564" s="31"/>
      <c r="D564" s="31"/>
      <c r="E564" s="7"/>
      <c r="F564" s="7"/>
      <c r="H564" s="40"/>
      <c r="I564" s="40"/>
      <c r="K564" s="7"/>
      <c r="N564" s="7"/>
      <c r="O564" s="7"/>
    </row>
    <row r="565" spans="1:15" ht="13" x14ac:dyDescent="0.15">
      <c r="A565" s="7"/>
      <c r="B565" s="31"/>
      <c r="C565" s="31"/>
      <c r="D565" s="31"/>
      <c r="E565" s="7"/>
      <c r="F565" s="7"/>
      <c r="H565" s="40"/>
      <c r="I565" s="40"/>
      <c r="K565" s="7"/>
      <c r="N565" s="7"/>
      <c r="O565" s="7"/>
    </row>
    <row r="566" spans="1:15" ht="13" x14ac:dyDescent="0.15">
      <c r="A566" s="7"/>
      <c r="B566" s="31"/>
      <c r="C566" s="31"/>
      <c r="D566" s="31"/>
      <c r="E566" s="7"/>
      <c r="F566" s="7"/>
      <c r="H566" s="40"/>
      <c r="I566" s="40"/>
      <c r="K566" s="7"/>
      <c r="N566" s="7"/>
      <c r="O566" s="7"/>
    </row>
    <row r="567" spans="1:15" ht="13" x14ac:dyDescent="0.15">
      <c r="A567" s="7"/>
      <c r="B567" s="31"/>
      <c r="C567" s="31"/>
      <c r="D567" s="31"/>
      <c r="E567" s="7"/>
      <c r="F567" s="7"/>
      <c r="H567" s="40"/>
      <c r="I567" s="40"/>
      <c r="K567" s="7"/>
      <c r="N567" s="7"/>
      <c r="O567" s="7"/>
    </row>
    <row r="568" spans="1:15" ht="13" x14ac:dyDescent="0.15">
      <c r="A568" s="7"/>
      <c r="B568" s="31"/>
      <c r="C568" s="31"/>
      <c r="D568" s="31"/>
      <c r="E568" s="7"/>
      <c r="F568" s="7"/>
      <c r="H568" s="40"/>
      <c r="I568" s="40"/>
      <c r="K568" s="7"/>
      <c r="N568" s="7"/>
      <c r="O568" s="7"/>
    </row>
    <row r="569" spans="1:15" ht="13" x14ac:dyDescent="0.15">
      <c r="A569" s="7"/>
      <c r="B569" s="31"/>
      <c r="C569" s="31"/>
      <c r="D569" s="31"/>
      <c r="E569" s="7"/>
      <c r="F569" s="7"/>
      <c r="H569" s="40"/>
      <c r="I569" s="40"/>
      <c r="K569" s="7"/>
      <c r="N569" s="7"/>
      <c r="O569" s="7"/>
    </row>
    <row r="570" spans="1:15" ht="13" x14ac:dyDescent="0.15">
      <c r="A570" s="7"/>
      <c r="B570" s="31"/>
      <c r="C570" s="31"/>
      <c r="D570" s="31"/>
      <c r="E570" s="7"/>
      <c r="F570" s="7"/>
      <c r="H570" s="40"/>
      <c r="I570" s="40"/>
      <c r="K570" s="7"/>
      <c r="N570" s="7"/>
      <c r="O570" s="7"/>
    </row>
    <row r="571" spans="1:15" ht="13" x14ac:dyDescent="0.15">
      <c r="A571" s="7"/>
      <c r="B571" s="31"/>
      <c r="C571" s="31"/>
      <c r="D571" s="31"/>
      <c r="E571" s="7"/>
      <c r="F571" s="7"/>
      <c r="H571" s="40"/>
      <c r="I571" s="40"/>
      <c r="K571" s="7"/>
      <c r="N571" s="7"/>
      <c r="O571" s="7"/>
    </row>
    <row r="572" spans="1:15" ht="13" x14ac:dyDescent="0.15">
      <c r="A572" s="7"/>
      <c r="B572" s="31"/>
      <c r="C572" s="31"/>
      <c r="D572" s="31"/>
      <c r="E572" s="7"/>
      <c r="F572" s="7"/>
      <c r="H572" s="40"/>
      <c r="I572" s="40"/>
      <c r="K572" s="7"/>
      <c r="N572" s="7"/>
      <c r="O572" s="7"/>
    </row>
    <row r="573" spans="1:15" ht="13" x14ac:dyDescent="0.15">
      <c r="A573" s="7"/>
      <c r="B573" s="31"/>
      <c r="C573" s="31"/>
      <c r="D573" s="31"/>
      <c r="E573" s="7"/>
      <c r="F573" s="7"/>
      <c r="H573" s="40"/>
      <c r="I573" s="40"/>
      <c r="K573" s="7"/>
      <c r="N573" s="7"/>
      <c r="O573" s="7"/>
    </row>
    <row r="574" spans="1:15" ht="13" x14ac:dyDescent="0.15">
      <c r="A574" s="7"/>
      <c r="B574" s="31"/>
      <c r="C574" s="31"/>
      <c r="D574" s="31"/>
      <c r="E574" s="7"/>
      <c r="F574" s="7"/>
      <c r="H574" s="40"/>
      <c r="I574" s="40"/>
      <c r="K574" s="7"/>
      <c r="N574" s="7"/>
      <c r="O574" s="7"/>
    </row>
    <row r="575" spans="1:15" ht="13" x14ac:dyDescent="0.15">
      <c r="A575" s="7"/>
      <c r="B575" s="31"/>
      <c r="C575" s="31"/>
      <c r="D575" s="31"/>
      <c r="E575" s="7"/>
      <c r="F575" s="7"/>
      <c r="H575" s="40"/>
      <c r="I575" s="40"/>
      <c r="K575" s="7"/>
      <c r="N575" s="7"/>
      <c r="O575" s="7"/>
    </row>
    <row r="576" spans="1:15" ht="13" x14ac:dyDescent="0.15">
      <c r="A576" s="7"/>
      <c r="B576" s="31"/>
      <c r="C576" s="31"/>
      <c r="D576" s="31"/>
      <c r="E576" s="7"/>
      <c r="F576" s="7"/>
      <c r="H576" s="40"/>
      <c r="I576" s="40"/>
      <c r="K576" s="7"/>
      <c r="N576" s="7"/>
      <c r="O576" s="7"/>
    </row>
    <row r="577" spans="1:15" ht="13" x14ac:dyDescent="0.15">
      <c r="A577" s="7"/>
      <c r="B577" s="31"/>
      <c r="C577" s="31"/>
      <c r="D577" s="31"/>
      <c r="E577" s="7"/>
      <c r="F577" s="7"/>
      <c r="H577" s="40"/>
      <c r="I577" s="40"/>
      <c r="K577" s="7"/>
      <c r="N577" s="7"/>
      <c r="O577" s="7"/>
    </row>
    <row r="578" spans="1:15" ht="13" x14ac:dyDescent="0.15">
      <c r="A578" s="7"/>
      <c r="B578" s="31"/>
      <c r="C578" s="31"/>
      <c r="D578" s="31"/>
      <c r="E578" s="7"/>
      <c r="F578" s="7"/>
      <c r="H578" s="40"/>
      <c r="I578" s="40"/>
      <c r="K578" s="7"/>
      <c r="N578" s="7"/>
      <c r="O578" s="7"/>
    </row>
    <row r="579" spans="1:15" ht="13" x14ac:dyDescent="0.15">
      <c r="A579" s="7"/>
      <c r="B579" s="31"/>
      <c r="C579" s="31"/>
      <c r="D579" s="31"/>
      <c r="E579" s="7"/>
      <c r="F579" s="7"/>
      <c r="H579" s="40"/>
      <c r="I579" s="40"/>
      <c r="K579" s="7"/>
      <c r="N579" s="7"/>
      <c r="O579" s="7"/>
    </row>
    <row r="580" spans="1:15" ht="13" x14ac:dyDescent="0.15">
      <c r="A580" s="7"/>
      <c r="B580" s="31"/>
      <c r="C580" s="31"/>
      <c r="D580" s="31"/>
      <c r="E580" s="7"/>
      <c r="F580" s="7"/>
      <c r="H580" s="40"/>
      <c r="I580" s="40"/>
      <c r="K580" s="7"/>
      <c r="N580" s="7"/>
      <c r="O580" s="7"/>
    </row>
    <row r="581" spans="1:15" ht="13" x14ac:dyDescent="0.15">
      <c r="A581" s="7"/>
      <c r="B581" s="31"/>
      <c r="C581" s="31"/>
      <c r="D581" s="31"/>
      <c r="E581" s="7"/>
      <c r="F581" s="7"/>
      <c r="H581" s="40"/>
      <c r="I581" s="40"/>
      <c r="K581" s="7"/>
      <c r="N581" s="7"/>
      <c r="O581" s="7"/>
    </row>
    <row r="582" spans="1:15" ht="13" x14ac:dyDescent="0.15">
      <c r="A582" s="7"/>
      <c r="B582" s="31"/>
      <c r="C582" s="31"/>
      <c r="D582" s="31"/>
      <c r="E582" s="7"/>
      <c r="F582" s="7"/>
      <c r="H582" s="40"/>
      <c r="I582" s="40"/>
      <c r="K582" s="7"/>
      <c r="N582" s="7"/>
      <c r="O582" s="7"/>
    </row>
    <row r="583" spans="1:15" ht="13" x14ac:dyDescent="0.15">
      <c r="A583" s="7"/>
      <c r="B583" s="31"/>
      <c r="C583" s="31"/>
      <c r="D583" s="31"/>
      <c r="E583" s="7"/>
      <c r="F583" s="7"/>
      <c r="H583" s="40"/>
      <c r="I583" s="40"/>
      <c r="K583" s="7"/>
      <c r="N583" s="7"/>
      <c r="O583" s="7"/>
    </row>
    <row r="584" spans="1:15" ht="13" x14ac:dyDescent="0.15">
      <c r="A584" s="7"/>
      <c r="B584" s="31"/>
      <c r="C584" s="31"/>
      <c r="D584" s="31"/>
      <c r="E584" s="7"/>
      <c r="F584" s="7"/>
      <c r="H584" s="40"/>
      <c r="I584" s="40"/>
      <c r="K584" s="7"/>
      <c r="N584" s="7"/>
      <c r="O584" s="7"/>
    </row>
    <row r="585" spans="1:15" ht="13" x14ac:dyDescent="0.15">
      <c r="A585" s="7"/>
      <c r="B585" s="31"/>
      <c r="C585" s="31"/>
      <c r="D585" s="31"/>
      <c r="E585" s="7"/>
      <c r="F585" s="7"/>
      <c r="H585" s="40"/>
      <c r="I585" s="40"/>
      <c r="K585" s="7"/>
      <c r="N585" s="7"/>
      <c r="O585" s="7"/>
    </row>
    <row r="586" spans="1:15" ht="13" x14ac:dyDescent="0.15">
      <c r="A586" s="7"/>
      <c r="B586" s="31"/>
      <c r="C586" s="31"/>
      <c r="D586" s="31"/>
      <c r="E586" s="7"/>
      <c r="F586" s="7"/>
      <c r="H586" s="40"/>
      <c r="I586" s="40"/>
      <c r="K586" s="7"/>
      <c r="N586" s="7"/>
      <c r="O586" s="7"/>
    </row>
    <row r="587" spans="1:15" ht="13" x14ac:dyDescent="0.15">
      <c r="A587" s="7"/>
      <c r="B587" s="31"/>
      <c r="C587" s="31"/>
      <c r="D587" s="31"/>
      <c r="E587" s="7"/>
      <c r="F587" s="7"/>
      <c r="H587" s="40"/>
      <c r="I587" s="40"/>
      <c r="K587" s="7"/>
      <c r="N587" s="7"/>
      <c r="O587" s="7"/>
    </row>
    <row r="588" spans="1:15" ht="13" x14ac:dyDescent="0.15">
      <c r="A588" s="7"/>
      <c r="B588" s="31"/>
      <c r="C588" s="31"/>
      <c r="D588" s="31"/>
      <c r="E588" s="7"/>
      <c r="F588" s="7"/>
      <c r="H588" s="40"/>
      <c r="I588" s="40"/>
      <c r="K588" s="7"/>
      <c r="N588" s="7"/>
      <c r="O588" s="7"/>
    </row>
    <row r="589" spans="1:15" ht="13" x14ac:dyDescent="0.15">
      <c r="A589" s="7"/>
      <c r="B589" s="31"/>
      <c r="C589" s="31"/>
      <c r="D589" s="31"/>
      <c r="E589" s="7"/>
      <c r="F589" s="7"/>
      <c r="H589" s="40"/>
      <c r="I589" s="40"/>
      <c r="K589" s="7"/>
      <c r="N589" s="7"/>
      <c r="O589" s="7"/>
    </row>
    <row r="590" spans="1:15" ht="13" x14ac:dyDescent="0.15">
      <c r="A590" s="7"/>
      <c r="B590" s="31"/>
      <c r="C590" s="31"/>
      <c r="D590" s="31"/>
      <c r="E590" s="7"/>
      <c r="F590" s="7"/>
      <c r="H590" s="40"/>
      <c r="I590" s="40"/>
      <c r="K590" s="7"/>
      <c r="N590" s="7"/>
      <c r="O590" s="7"/>
    </row>
    <row r="591" spans="1:15" ht="13" x14ac:dyDescent="0.15">
      <c r="A591" s="7"/>
      <c r="B591" s="31"/>
      <c r="C591" s="31"/>
      <c r="D591" s="31"/>
      <c r="E591" s="7"/>
      <c r="F591" s="7"/>
      <c r="H591" s="40"/>
      <c r="I591" s="40"/>
      <c r="K591" s="7"/>
      <c r="N591" s="7"/>
      <c r="O591" s="7"/>
    </row>
    <row r="592" spans="1:15" ht="13" x14ac:dyDescent="0.15">
      <c r="A592" s="7"/>
      <c r="B592" s="31"/>
      <c r="C592" s="31"/>
      <c r="D592" s="31"/>
      <c r="E592" s="7"/>
      <c r="F592" s="7"/>
      <c r="H592" s="40"/>
      <c r="I592" s="40"/>
      <c r="K592" s="7"/>
      <c r="N592" s="7"/>
      <c r="O592" s="7"/>
    </row>
    <row r="593" spans="1:15" ht="13" x14ac:dyDescent="0.15">
      <c r="A593" s="7"/>
      <c r="B593" s="31"/>
      <c r="C593" s="31"/>
      <c r="D593" s="31"/>
      <c r="E593" s="7"/>
      <c r="F593" s="7"/>
      <c r="H593" s="40"/>
      <c r="I593" s="40"/>
      <c r="K593" s="7"/>
      <c r="N593" s="7"/>
      <c r="O593" s="7"/>
    </row>
    <row r="594" spans="1:15" ht="13" x14ac:dyDescent="0.15">
      <c r="A594" s="7"/>
      <c r="B594" s="31"/>
      <c r="C594" s="31"/>
      <c r="D594" s="31"/>
      <c r="E594" s="7"/>
      <c r="F594" s="7"/>
      <c r="H594" s="40"/>
      <c r="I594" s="40"/>
      <c r="K594" s="7"/>
      <c r="N594" s="7"/>
      <c r="O594" s="7"/>
    </row>
    <row r="595" spans="1:15" ht="13" x14ac:dyDescent="0.15">
      <c r="A595" s="7"/>
      <c r="B595" s="31"/>
      <c r="C595" s="31"/>
      <c r="D595" s="31"/>
      <c r="E595" s="7"/>
      <c r="F595" s="7"/>
      <c r="H595" s="40"/>
      <c r="I595" s="40"/>
      <c r="K595" s="7"/>
      <c r="N595" s="7"/>
      <c r="O595" s="7"/>
    </row>
    <row r="596" spans="1:15" ht="13" x14ac:dyDescent="0.15">
      <c r="A596" s="7"/>
      <c r="B596" s="31"/>
      <c r="C596" s="31"/>
      <c r="D596" s="31"/>
      <c r="E596" s="7"/>
      <c r="F596" s="7"/>
      <c r="H596" s="40"/>
      <c r="I596" s="40"/>
      <c r="K596" s="7"/>
      <c r="N596" s="7"/>
      <c r="O596" s="7"/>
    </row>
    <row r="597" spans="1:15" ht="13" x14ac:dyDescent="0.15">
      <c r="A597" s="7"/>
      <c r="B597" s="31"/>
      <c r="C597" s="31"/>
      <c r="D597" s="31"/>
      <c r="E597" s="7"/>
      <c r="F597" s="7"/>
      <c r="H597" s="40"/>
      <c r="I597" s="40"/>
      <c r="K597" s="7"/>
      <c r="N597" s="7"/>
      <c r="O597" s="7"/>
    </row>
    <row r="598" spans="1:15" ht="13" x14ac:dyDescent="0.15">
      <c r="A598" s="7"/>
      <c r="B598" s="31"/>
      <c r="C598" s="31"/>
      <c r="D598" s="31"/>
      <c r="E598" s="7"/>
      <c r="F598" s="7"/>
      <c r="H598" s="40"/>
      <c r="I598" s="40"/>
      <c r="K598" s="7"/>
      <c r="N598" s="7"/>
      <c r="O598" s="7"/>
    </row>
    <row r="599" spans="1:15" ht="13" x14ac:dyDescent="0.15">
      <c r="A599" s="7"/>
      <c r="B599" s="31"/>
      <c r="C599" s="31"/>
      <c r="D599" s="31"/>
      <c r="E599" s="7"/>
      <c r="F599" s="7"/>
      <c r="H599" s="40"/>
      <c r="I599" s="40"/>
      <c r="K599" s="7"/>
      <c r="N599" s="7"/>
      <c r="O599" s="7"/>
    </row>
    <row r="600" spans="1:15" ht="13" x14ac:dyDescent="0.15">
      <c r="A600" s="7"/>
      <c r="B600" s="31"/>
      <c r="C600" s="31"/>
      <c r="D600" s="31"/>
      <c r="E600" s="7"/>
      <c r="F600" s="7"/>
      <c r="H600" s="40"/>
      <c r="I600" s="40"/>
      <c r="K600" s="7"/>
      <c r="N600" s="7"/>
      <c r="O600" s="7"/>
    </row>
    <row r="601" spans="1:15" ht="13" x14ac:dyDescent="0.15">
      <c r="A601" s="7"/>
      <c r="B601" s="31"/>
      <c r="C601" s="31"/>
      <c r="D601" s="31"/>
      <c r="E601" s="7"/>
      <c r="F601" s="7"/>
      <c r="H601" s="40"/>
      <c r="I601" s="40"/>
      <c r="K601" s="7"/>
      <c r="N601" s="7"/>
      <c r="O601" s="7"/>
    </row>
    <row r="602" spans="1:15" ht="13" x14ac:dyDescent="0.15">
      <c r="A602" s="7"/>
      <c r="B602" s="31"/>
      <c r="C602" s="31"/>
      <c r="D602" s="31"/>
      <c r="E602" s="7"/>
      <c r="F602" s="7"/>
      <c r="H602" s="40"/>
      <c r="I602" s="40"/>
      <c r="K602" s="7"/>
      <c r="N602" s="7"/>
      <c r="O602" s="7"/>
    </row>
    <row r="603" spans="1:15" ht="13" x14ac:dyDescent="0.15">
      <c r="A603" s="7"/>
      <c r="B603" s="31"/>
      <c r="C603" s="31"/>
      <c r="D603" s="31"/>
      <c r="E603" s="7"/>
      <c r="F603" s="7"/>
      <c r="H603" s="40"/>
      <c r="I603" s="40"/>
      <c r="K603" s="7"/>
      <c r="N603" s="7"/>
      <c r="O603" s="7"/>
    </row>
    <row r="604" spans="1:15" ht="13" x14ac:dyDescent="0.15">
      <c r="A604" s="7"/>
      <c r="B604" s="31"/>
      <c r="C604" s="31"/>
      <c r="D604" s="31"/>
      <c r="E604" s="7"/>
      <c r="F604" s="7"/>
      <c r="H604" s="40"/>
      <c r="I604" s="40"/>
      <c r="K604" s="7"/>
      <c r="N604" s="7"/>
      <c r="O604" s="7"/>
    </row>
    <row r="605" spans="1:15" ht="13" x14ac:dyDescent="0.15">
      <c r="A605" s="7"/>
      <c r="B605" s="31"/>
      <c r="C605" s="31"/>
      <c r="D605" s="31"/>
      <c r="E605" s="7"/>
      <c r="F605" s="7"/>
      <c r="H605" s="40"/>
      <c r="I605" s="40"/>
      <c r="K605" s="7"/>
      <c r="N605" s="7"/>
      <c r="O605" s="7"/>
    </row>
    <row r="606" spans="1:15" ht="13" x14ac:dyDescent="0.15">
      <c r="A606" s="7"/>
      <c r="B606" s="31"/>
      <c r="C606" s="31"/>
      <c r="D606" s="31"/>
      <c r="E606" s="7"/>
      <c r="F606" s="7"/>
      <c r="H606" s="40"/>
      <c r="I606" s="40"/>
      <c r="K606" s="7"/>
      <c r="N606" s="7"/>
      <c r="O606" s="7"/>
    </row>
    <row r="607" spans="1:15" ht="13" x14ac:dyDescent="0.15">
      <c r="A607" s="7"/>
      <c r="B607" s="31"/>
      <c r="C607" s="31"/>
      <c r="D607" s="31"/>
      <c r="E607" s="7"/>
      <c r="F607" s="7"/>
      <c r="H607" s="40"/>
      <c r="I607" s="40"/>
      <c r="K607" s="7"/>
      <c r="N607" s="7"/>
      <c r="O607" s="7"/>
    </row>
    <row r="608" spans="1:15" ht="13" x14ac:dyDescent="0.15">
      <c r="A608" s="7"/>
      <c r="B608" s="31"/>
      <c r="C608" s="31"/>
      <c r="D608" s="31"/>
      <c r="E608" s="7"/>
      <c r="F608" s="7"/>
      <c r="H608" s="40"/>
      <c r="I608" s="40"/>
      <c r="K608" s="7"/>
      <c r="N608" s="7"/>
      <c r="O608" s="7"/>
    </row>
    <row r="609" spans="1:15" ht="13" x14ac:dyDescent="0.15">
      <c r="A609" s="7"/>
      <c r="B609" s="31"/>
      <c r="C609" s="31"/>
      <c r="D609" s="31"/>
      <c r="E609" s="7"/>
      <c r="F609" s="7"/>
      <c r="H609" s="40"/>
      <c r="I609" s="40"/>
      <c r="K609" s="7"/>
      <c r="N609" s="7"/>
      <c r="O609" s="7"/>
    </row>
    <row r="610" spans="1:15" ht="13" x14ac:dyDescent="0.15">
      <c r="A610" s="7"/>
      <c r="B610" s="31"/>
      <c r="C610" s="31"/>
      <c r="D610" s="31"/>
      <c r="E610" s="7"/>
      <c r="F610" s="7"/>
      <c r="H610" s="40"/>
      <c r="I610" s="40"/>
      <c r="K610" s="7"/>
      <c r="N610" s="7"/>
      <c r="O610" s="7"/>
    </row>
    <row r="611" spans="1:15" ht="13" x14ac:dyDescent="0.15">
      <c r="A611" s="7"/>
      <c r="B611" s="31"/>
      <c r="C611" s="31"/>
      <c r="D611" s="31"/>
      <c r="E611" s="7"/>
      <c r="F611" s="7"/>
      <c r="H611" s="40"/>
      <c r="I611" s="40"/>
      <c r="K611" s="7"/>
      <c r="N611" s="7"/>
      <c r="O611" s="7"/>
    </row>
    <row r="612" spans="1:15" ht="13" x14ac:dyDescent="0.15">
      <c r="A612" s="7"/>
      <c r="B612" s="31"/>
      <c r="C612" s="31"/>
      <c r="D612" s="31"/>
      <c r="E612" s="7"/>
      <c r="F612" s="7"/>
      <c r="H612" s="40"/>
      <c r="I612" s="40"/>
      <c r="K612" s="7"/>
      <c r="N612" s="7"/>
      <c r="O612" s="7"/>
    </row>
    <row r="613" spans="1:15" ht="13" x14ac:dyDescent="0.15">
      <c r="A613" s="7"/>
      <c r="B613" s="31"/>
      <c r="C613" s="31"/>
      <c r="D613" s="31"/>
      <c r="E613" s="7"/>
      <c r="F613" s="7"/>
      <c r="H613" s="40"/>
      <c r="I613" s="40"/>
      <c r="K613" s="7"/>
      <c r="N613" s="7"/>
      <c r="O613" s="7"/>
    </row>
    <row r="614" spans="1:15" ht="13" x14ac:dyDescent="0.15">
      <c r="A614" s="7"/>
      <c r="B614" s="31"/>
      <c r="C614" s="31"/>
      <c r="D614" s="31"/>
      <c r="E614" s="7"/>
      <c r="F614" s="7"/>
      <c r="H614" s="40"/>
      <c r="I614" s="40"/>
      <c r="K614" s="7"/>
      <c r="N614" s="7"/>
      <c r="O614" s="7"/>
    </row>
    <row r="615" spans="1:15" ht="13" x14ac:dyDescent="0.15">
      <c r="A615" s="7"/>
      <c r="B615" s="31"/>
      <c r="C615" s="31"/>
      <c r="D615" s="31"/>
      <c r="E615" s="7"/>
      <c r="F615" s="7"/>
      <c r="H615" s="40"/>
      <c r="I615" s="40"/>
      <c r="K615" s="7"/>
      <c r="N615" s="7"/>
      <c r="O615" s="7"/>
    </row>
    <row r="616" spans="1:15" ht="13" x14ac:dyDescent="0.15">
      <c r="A616" s="7"/>
      <c r="B616" s="31"/>
      <c r="C616" s="31"/>
      <c r="D616" s="31"/>
      <c r="E616" s="7"/>
      <c r="F616" s="7"/>
      <c r="H616" s="40"/>
      <c r="I616" s="40"/>
      <c r="K616" s="7"/>
      <c r="N616" s="7"/>
      <c r="O616" s="7"/>
    </row>
    <row r="617" spans="1:15" ht="13" x14ac:dyDescent="0.15">
      <c r="A617" s="7"/>
      <c r="B617" s="31"/>
      <c r="C617" s="31"/>
      <c r="D617" s="31"/>
      <c r="E617" s="7"/>
      <c r="F617" s="7"/>
      <c r="H617" s="40"/>
      <c r="I617" s="40"/>
      <c r="K617" s="7"/>
      <c r="N617" s="7"/>
      <c r="O617" s="7"/>
    </row>
    <row r="618" spans="1:15" ht="13" x14ac:dyDescent="0.15">
      <c r="A618" s="7"/>
      <c r="B618" s="31"/>
      <c r="C618" s="31"/>
      <c r="D618" s="31"/>
      <c r="E618" s="7"/>
      <c r="F618" s="7"/>
      <c r="H618" s="40"/>
      <c r="I618" s="40"/>
      <c r="K618" s="7"/>
      <c r="N618" s="7"/>
      <c r="O618" s="7"/>
    </row>
    <row r="619" spans="1:15" ht="13" x14ac:dyDescent="0.15">
      <c r="A619" s="7"/>
      <c r="B619" s="31"/>
      <c r="C619" s="31"/>
      <c r="D619" s="31"/>
      <c r="E619" s="7"/>
      <c r="F619" s="7"/>
      <c r="H619" s="40"/>
      <c r="I619" s="40"/>
      <c r="K619" s="7"/>
      <c r="N619" s="7"/>
      <c r="O619" s="7"/>
    </row>
    <row r="620" spans="1:15" ht="13" x14ac:dyDescent="0.15">
      <c r="A620" s="7"/>
      <c r="B620" s="31"/>
      <c r="C620" s="31"/>
      <c r="D620" s="31"/>
      <c r="E620" s="7"/>
      <c r="F620" s="7"/>
      <c r="H620" s="40"/>
      <c r="I620" s="40"/>
      <c r="K620" s="7"/>
      <c r="N620" s="7"/>
      <c r="O620" s="7"/>
    </row>
    <row r="621" spans="1:15" ht="13" x14ac:dyDescent="0.15">
      <c r="A621" s="7"/>
      <c r="B621" s="31"/>
      <c r="C621" s="31"/>
      <c r="D621" s="31"/>
      <c r="E621" s="7"/>
      <c r="F621" s="7"/>
      <c r="H621" s="40"/>
      <c r="I621" s="40"/>
      <c r="K621" s="7"/>
      <c r="N621" s="7"/>
      <c r="O621" s="7"/>
    </row>
    <row r="622" spans="1:15" ht="13" x14ac:dyDescent="0.15">
      <c r="A622" s="7"/>
      <c r="B622" s="31"/>
      <c r="C622" s="31"/>
      <c r="D622" s="31"/>
      <c r="E622" s="7"/>
      <c r="F622" s="7"/>
      <c r="H622" s="40"/>
      <c r="I622" s="40"/>
      <c r="K622" s="7"/>
      <c r="N622" s="7"/>
      <c r="O622" s="7"/>
    </row>
    <row r="623" spans="1:15" ht="13" x14ac:dyDescent="0.15">
      <c r="A623" s="7"/>
      <c r="B623" s="31"/>
      <c r="C623" s="31"/>
      <c r="D623" s="31"/>
      <c r="E623" s="7"/>
      <c r="F623" s="7"/>
      <c r="H623" s="40"/>
      <c r="I623" s="40"/>
      <c r="K623" s="7"/>
      <c r="N623" s="7"/>
      <c r="O623" s="7"/>
    </row>
    <row r="624" spans="1:15" ht="13" x14ac:dyDescent="0.15">
      <c r="A624" s="7"/>
      <c r="B624" s="31"/>
      <c r="C624" s="31"/>
      <c r="D624" s="31"/>
      <c r="E624" s="7"/>
      <c r="F624" s="7"/>
      <c r="H624" s="40"/>
      <c r="I624" s="40"/>
      <c r="K624" s="7"/>
      <c r="N624" s="7"/>
      <c r="O624" s="7"/>
    </row>
    <row r="625" spans="1:15" ht="13" x14ac:dyDescent="0.15">
      <c r="A625" s="7"/>
      <c r="B625" s="31"/>
      <c r="C625" s="31"/>
      <c r="D625" s="31"/>
      <c r="E625" s="7"/>
      <c r="F625" s="7"/>
      <c r="H625" s="40"/>
      <c r="I625" s="40"/>
      <c r="K625" s="7"/>
      <c r="N625" s="7"/>
      <c r="O625" s="7"/>
    </row>
    <row r="626" spans="1:15" ht="13" x14ac:dyDescent="0.15">
      <c r="A626" s="7"/>
      <c r="B626" s="31"/>
      <c r="C626" s="31"/>
      <c r="D626" s="31"/>
      <c r="E626" s="7"/>
      <c r="F626" s="7"/>
      <c r="H626" s="40"/>
      <c r="I626" s="40"/>
      <c r="K626" s="7"/>
      <c r="N626" s="7"/>
      <c r="O626" s="7"/>
    </row>
    <row r="627" spans="1:15" ht="13" x14ac:dyDescent="0.15">
      <c r="A627" s="7"/>
      <c r="B627" s="31"/>
      <c r="C627" s="31"/>
      <c r="D627" s="31"/>
      <c r="E627" s="7"/>
      <c r="F627" s="7"/>
      <c r="H627" s="40"/>
      <c r="I627" s="40"/>
      <c r="K627" s="7"/>
      <c r="N627" s="7"/>
      <c r="O627" s="7"/>
    </row>
    <row r="628" spans="1:15" ht="13" x14ac:dyDescent="0.15">
      <c r="A628" s="7"/>
      <c r="B628" s="31"/>
      <c r="C628" s="31"/>
      <c r="D628" s="31"/>
      <c r="E628" s="7"/>
      <c r="F628" s="7"/>
      <c r="H628" s="40"/>
      <c r="I628" s="40"/>
      <c r="K628" s="7"/>
      <c r="N628" s="7"/>
      <c r="O628" s="7"/>
    </row>
    <row r="629" spans="1:15" ht="13" x14ac:dyDescent="0.15">
      <c r="A629" s="7"/>
      <c r="B629" s="31"/>
      <c r="C629" s="31"/>
      <c r="D629" s="31"/>
      <c r="E629" s="7"/>
      <c r="F629" s="7"/>
      <c r="H629" s="40"/>
      <c r="I629" s="40"/>
      <c r="K629" s="7"/>
      <c r="N629" s="7"/>
      <c r="O629" s="7"/>
    </row>
    <row r="630" spans="1:15" ht="13" x14ac:dyDescent="0.15">
      <c r="A630" s="7"/>
      <c r="B630" s="31"/>
      <c r="C630" s="31"/>
      <c r="D630" s="31"/>
      <c r="E630" s="7"/>
      <c r="F630" s="7"/>
      <c r="H630" s="40"/>
      <c r="I630" s="40"/>
      <c r="K630" s="7"/>
      <c r="N630" s="7"/>
      <c r="O630" s="7"/>
    </row>
    <row r="631" spans="1:15" ht="13" x14ac:dyDescent="0.15">
      <c r="A631" s="7"/>
      <c r="B631" s="31"/>
      <c r="C631" s="31"/>
      <c r="D631" s="31"/>
      <c r="E631" s="7"/>
      <c r="F631" s="7"/>
      <c r="H631" s="40"/>
      <c r="I631" s="40"/>
      <c r="K631" s="7"/>
      <c r="N631" s="7"/>
      <c r="O631" s="7"/>
    </row>
    <row r="632" spans="1:15" ht="13" x14ac:dyDescent="0.15">
      <c r="A632" s="7"/>
      <c r="B632" s="31"/>
      <c r="C632" s="31"/>
      <c r="D632" s="31"/>
      <c r="E632" s="7"/>
      <c r="F632" s="7"/>
      <c r="H632" s="40"/>
      <c r="I632" s="40"/>
      <c r="K632" s="7"/>
      <c r="N632" s="7"/>
      <c r="O632" s="7"/>
    </row>
    <row r="633" spans="1:15" ht="13" x14ac:dyDescent="0.15">
      <c r="A633" s="7"/>
      <c r="B633" s="31"/>
      <c r="C633" s="31"/>
      <c r="D633" s="31"/>
      <c r="E633" s="7"/>
      <c r="F633" s="7"/>
      <c r="H633" s="40"/>
      <c r="I633" s="40"/>
      <c r="K633" s="7"/>
      <c r="N633" s="7"/>
      <c r="O633" s="7"/>
    </row>
    <row r="634" spans="1:15" ht="13" x14ac:dyDescent="0.15">
      <c r="A634" s="7"/>
      <c r="B634" s="31"/>
      <c r="C634" s="31"/>
      <c r="D634" s="31"/>
      <c r="E634" s="7"/>
      <c r="F634" s="7"/>
      <c r="H634" s="40"/>
      <c r="I634" s="40"/>
      <c r="K634" s="7"/>
      <c r="N634" s="7"/>
      <c r="O634" s="7"/>
    </row>
    <row r="635" spans="1:15" ht="13" x14ac:dyDescent="0.15">
      <c r="A635" s="7"/>
      <c r="B635" s="31"/>
      <c r="C635" s="31"/>
      <c r="D635" s="31"/>
      <c r="E635" s="7"/>
      <c r="F635" s="7"/>
      <c r="H635" s="40"/>
      <c r="I635" s="40"/>
      <c r="K635" s="7"/>
      <c r="N635" s="7"/>
      <c r="O635" s="7"/>
    </row>
    <row r="636" spans="1:15" ht="13" x14ac:dyDescent="0.15">
      <c r="A636" s="7"/>
      <c r="B636" s="31"/>
      <c r="C636" s="31"/>
      <c r="D636" s="31"/>
      <c r="E636" s="7"/>
      <c r="F636" s="7"/>
      <c r="H636" s="40"/>
      <c r="I636" s="40"/>
      <c r="K636" s="7"/>
      <c r="N636" s="7"/>
      <c r="O636" s="7"/>
    </row>
    <row r="637" spans="1:15" ht="13" x14ac:dyDescent="0.15">
      <c r="A637" s="7"/>
      <c r="B637" s="31"/>
      <c r="C637" s="31"/>
      <c r="D637" s="31"/>
      <c r="E637" s="7"/>
      <c r="F637" s="7"/>
      <c r="H637" s="40"/>
      <c r="I637" s="40"/>
      <c r="K637" s="7"/>
      <c r="N637" s="7"/>
      <c r="O637" s="7"/>
    </row>
    <row r="638" spans="1:15" ht="13" x14ac:dyDescent="0.15">
      <c r="A638" s="7"/>
      <c r="B638" s="31"/>
      <c r="C638" s="31"/>
      <c r="D638" s="31"/>
      <c r="E638" s="7"/>
      <c r="F638" s="7"/>
      <c r="H638" s="40"/>
      <c r="I638" s="40"/>
      <c r="K638" s="7"/>
      <c r="N638" s="7"/>
      <c r="O638" s="7"/>
    </row>
    <row r="639" spans="1:15" ht="13" x14ac:dyDescent="0.15">
      <c r="A639" s="7"/>
      <c r="B639" s="31"/>
      <c r="C639" s="31"/>
      <c r="D639" s="31"/>
      <c r="E639" s="7"/>
      <c r="F639" s="7"/>
      <c r="H639" s="40"/>
      <c r="I639" s="40"/>
      <c r="K639" s="7"/>
      <c r="N639" s="7"/>
      <c r="O639" s="7"/>
    </row>
    <row r="640" spans="1:15" ht="13" x14ac:dyDescent="0.15">
      <c r="A640" s="7"/>
      <c r="B640" s="31"/>
      <c r="C640" s="31"/>
      <c r="D640" s="31"/>
      <c r="E640" s="7"/>
      <c r="F640" s="7"/>
      <c r="H640" s="40"/>
      <c r="I640" s="40"/>
      <c r="K640" s="7"/>
      <c r="N640" s="7"/>
      <c r="O640" s="7"/>
    </row>
    <row r="641" spans="1:15" ht="13" x14ac:dyDescent="0.15">
      <c r="A641" s="7"/>
      <c r="B641" s="31"/>
      <c r="C641" s="31"/>
      <c r="D641" s="31"/>
      <c r="E641" s="7"/>
      <c r="F641" s="7"/>
      <c r="H641" s="40"/>
      <c r="I641" s="40"/>
      <c r="K641" s="7"/>
      <c r="N641" s="7"/>
      <c r="O641" s="7"/>
    </row>
    <row r="642" spans="1:15" ht="13" x14ac:dyDescent="0.15">
      <c r="A642" s="7"/>
      <c r="B642" s="31"/>
      <c r="C642" s="31"/>
      <c r="D642" s="31"/>
      <c r="E642" s="7"/>
      <c r="F642" s="7"/>
      <c r="H642" s="40"/>
      <c r="I642" s="40"/>
      <c r="K642" s="7"/>
      <c r="N642" s="7"/>
      <c r="O642" s="7"/>
    </row>
    <row r="643" spans="1:15" ht="13" x14ac:dyDescent="0.15">
      <c r="A643" s="7"/>
      <c r="B643" s="31"/>
      <c r="C643" s="31"/>
      <c r="D643" s="31"/>
      <c r="E643" s="7"/>
      <c r="F643" s="7"/>
      <c r="H643" s="40"/>
      <c r="I643" s="40"/>
      <c r="K643" s="7"/>
      <c r="N643" s="7"/>
      <c r="O643" s="7"/>
    </row>
    <row r="644" spans="1:15" ht="13" x14ac:dyDescent="0.15">
      <c r="A644" s="7"/>
      <c r="B644" s="31"/>
      <c r="C644" s="31"/>
      <c r="D644" s="31"/>
      <c r="E644" s="7"/>
      <c r="F644" s="7"/>
      <c r="H644" s="40"/>
      <c r="I644" s="40"/>
      <c r="K644" s="7"/>
      <c r="N644" s="7"/>
      <c r="O644" s="7"/>
    </row>
    <row r="645" spans="1:15" ht="13" x14ac:dyDescent="0.15">
      <c r="A645" s="7"/>
      <c r="B645" s="31"/>
      <c r="C645" s="31"/>
      <c r="D645" s="31"/>
      <c r="E645" s="7"/>
      <c r="F645" s="7"/>
      <c r="H645" s="40"/>
      <c r="I645" s="40"/>
      <c r="K645" s="7"/>
      <c r="N645" s="7"/>
      <c r="O645" s="7"/>
    </row>
    <row r="646" spans="1:15" ht="13" x14ac:dyDescent="0.15">
      <c r="A646" s="7"/>
      <c r="B646" s="31"/>
      <c r="C646" s="31"/>
      <c r="D646" s="31"/>
      <c r="E646" s="7"/>
      <c r="F646" s="7"/>
      <c r="H646" s="40"/>
      <c r="I646" s="40"/>
      <c r="K646" s="7"/>
      <c r="N646" s="7"/>
      <c r="O646" s="7"/>
    </row>
    <row r="647" spans="1:15" ht="13" x14ac:dyDescent="0.15">
      <c r="A647" s="7"/>
      <c r="B647" s="31"/>
      <c r="C647" s="31"/>
      <c r="D647" s="31"/>
      <c r="E647" s="7"/>
      <c r="F647" s="7"/>
      <c r="H647" s="40"/>
      <c r="I647" s="40"/>
      <c r="K647" s="7"/>
      <c r="N647" s="7"/>
      <c r="O647" s="7"/>
    </row>
    <row r="648" spans="1:15" ht="13" x14ac:dyDescent="0.15">
      <c r="A648" s="7"/>
      <c r="B648" s="31"/>
      <c r="C648" s="31"/>
      <c r="D648" s="31"/>
      <c r="E648" s="7"/>
      <c r="F648" s="7"/>
      <c r="H648" s="40"/>
      <c r="I648" s="40"/>
      <c r="K648" s="7"/>
      <c r="N648" s="7"/>
      <c r="O648" s="7"/>
    </row>
    <row r="649" spans="1:15" ht="13" x14ac:dyDescent="0.15">
      <c r="A649" s="7"/>
      <c r="B649" s="31"/>
      <c r="C649" s="31"/>
      <c r="D649" s="31"/>
      <c r="E649" s="7"/>
      <c r="F649" s="7"/>
      <c r="H649" s="40"/>
      <c r="I649" s="40"/>
      <c r="K649" s="7"/>
      <c r="N649" s="7"/>
      <c r="O649" s="7"/>
    </row>
    <row r="650" spans="1:15" ht="13" x14ac:dyDescent="0.15">
      <c r="A650" s="7"/>
      <c r="B650" s="31"/>
      <c r="C650" s="31"/>
      <c r="D650" s="31"/>
      <c r="E650" s="7"/>
      <c r="F650" s="7"/>
      <c r="H650" s="40"/>
      <c r="I650" s="40"/>
      <c r="K650" s="7"/>
      <c r="N650" s="7"/>
      <c r="O650" s="7"/>
    </row>
    <row r="651" spans="1:15" ht="13" x14ac:dyDescent="0.15">
      <c r="A651" s="7"/>
      <c r="B651" s="31"/>
      <c r="C651" s="31"/>
      <c r="D651" s="31"/>
      <c r="E651" s="7"/>
      <c r="F651" s="7"/>
      <c r="H651" s="40"/>
      <c r="I651" s="40"/>
      <c r="K651" s="7"/>
      <c r="N651" s="7"/>
      <c r="O651" s="7"/>
    </row>
    <row r="652" spans="1:15" ht="13" x14ac:dyDescent="0.15">
      <c r="A652" s="7"/>
      <c r="B652" s="31"/>
      <c r="C652" s="31"/>
      <c r="D652" s="31"/>
      <c r="E652" s="7"/>
      <c r="F652" s="7"/>
      <c r="H652" s="40"/>
      <c r="I652" s="40"/>
      <c r="K652" s="7"/>
      <c r="N652" s="7"/>
      <c r="O652" s="7"/>
    </row>
    <row r="653" spans="1:15" ht="13" x14ac:dyDescent="0.15">
      <c r="A653" s="7"/>
      <c r="B653" s="31"/>
      <c r="C653" s="31"/>
      <c r="D653" s="31"/>
      <c r="E653" s="7"/>
      <c r="F653" s="7"/>
      <c r="H653" s="40"/>
      <c r="I653" s="40"/>
      <c r="K653" s="7"/>
      <c r="N653" s="7"/>
      <c r="O653" s="7"/>
    </row>
    <row r="654" spans="1:15" ht="13" x14ac:dyDescent="0.15">
      <c r="A654" s="7"/>
      <c r="B654" s="31"/>
      <c r="C654" s="31"/>
      <c r="D654" s="31"/>
      <c r="E654" s="7"/>
      <c r="F654" s="7"/>
      <c r="H654" s="40"/>
      <c r="I654" s="40"/>
      <c r="K654" s="7"/>
      <c r="N654" s="7"/>
      <c r="O654" s="7"/>
    </row>
    <row r="655" spans="1:15" ht="13" x14ac:dyDescent="0.15">
      <c r="A655" s="7"/>
      <c r="B655" s="31"/>
      <c r="C655" s="31"/>
      <c r="D655" s="31"/>
      <c r="E655" s="7"/>
      <c r="F655" s="7"/>
      <c r="H655" s="40"/>
      <c r="I655" s="40"/>
      <c r="K655" s="7"/>
      <c r="N655" s="7"/>
      <c r="O655" s="7"/>
    </row>
    <row r="656" spans="1:15" ht="13" x14ac:dyDescent="0.15">
      <c r="A656" s="7"/>
      <c r="B656" s="31"/>
      <c r="C656" s="31"/>
      <c r="D656" s="31"/>
      <c r="E656" s="7"/>
      <c r="F656" s="7"/>
      <c r="H656" s="40"/>
      <c r="I656" s="40"/>
      <c r="K656" s="7"/>
      <c r="N656" s="7"/>
      <c r="O656" s="7"/>
    </row>
    <row r="657" spans="1:15" ht="13" x14ac:dyDescent="0.15">
      <c r="A657" s="7"/>
      <c r="B657" s="31"/>
      <c r="C657" s="31"/>
      <c r="D657" s="31"/>
      <c r="E657" s="7"/>
      <c r="F657" s="7"/>
      <c r="H657" s="40"/>
      <c r="I657" s="40"/>
      <c r="K657" s="7"/>
      <c r="N657" s="7"/>
      <c r="O657" s="7"/>
    </row>
    <row r="658" spans="1:15" ht="13" x14ac:dyDescent="0.15">
      <c r="A658" s="7"/>
      <c r="B658" s="31"/>
      <c r="C658" s="31"/>
      <c r="D658" s="31"/>
      <c r="E658" s="7"/>
      <c r="F658" s="7"/>
      <c r="H658" s="40"/>
      <c r="I658" s="40"/>
      <c r="K658" s="7"/>
      <c r="N658" s="7"/>
      <c r="O658" s="7"/>
    </row>
    <row r="659" spans="1:15" ht="13" x14ac:dyDescent="0.15">
      <c r="A659" s="7"/>
      <c r="B659" s="31"/>
      <c r="C659" s="31"/>
      <c r="D659" s="31"/>
      <c r="E659" s="7"/>
      <c r="F659" s="7"/>
      <c r="H659" s="40"/>
      <c r="I659" s="40"/>
      <c r="K659" s="7"/>
      <c r="N659" s="7"/>
      <c r="O659" s="7"/>
    </row>
    <row r="660" spans="1:15" ht="13" x14ac:dyDescent="0.15">
      <c r="A660" s="7"/>
      <c r="B660" s="31"/>
      <c r="C660" s="31"/>
      <c r="D660" s="31"/>
      <c r="E660" s="7"/>
      <c r="F660" s="7"/>
      <c r="H660" s="40"/>
      <c r="I660" s="40"/>
      <c r="K660" s="7"/>
      <c r="N660" s="7"/>
      <c r="O660" s="7"/>
    </row>
    <row r="661" spans="1:15" ht="13" x14ac:dyDescent="0.15">
      <c r="A661" s="7"/>
      <c r="B661" s="31"/>
      <c r="C661" s="31"/>
      <c r="D661" s="31"/>
      <c r="E661" s="7"/>
      <c r="F661" s="7"/>
      <c r="H661" s="40"/>
      <c r="I661" s="40"/>
      <c r="K661" s="7"/>
      <c r="N661" s="7"/>
      <c r="O661" s="7"/>
    </row>
    <row r="662" spans="1:15" ht="13" x14ac:dyDescent="0.15">
      <c r="A662" s="7"/>
      <c r="B662" s="31"/>
      <c r="C662" s="31"/>
      <c r="D662" s="31"/>
      <c r="E662" s="7"/>
      <c r="F662" s="7"/>
      <c r="H662" s="40"/>
      <c r="I662" s="40"/>
      <c r="K662" s="7"/>
      <c r="N662" s="7"/>
      <c r="O662" s="7"/>
    </row>
    <row r="663" spans="1:15" ht="13" x14ac:dyDescent="0.15">
      <c r="A663" s="7"/>
      <c r="B663" s="31"/>
      <c r="C663" s="31"/>
      <c r="D663" s="31"/>
      <c r="E663" s="7"/>
      <c r="F663" s="7"/>
      <c r="H663" s="40"/>
      <c r="I663" s="40"/>
      <c r="K663" s="7"/>
      <c r="N663" s="7"/>
      <c r="O663" s="7"/>
    </row>
    <row r="664" spans="1:15" ht="13" x14ac:dyDescent="0.15">
      <c r="A664" s="7"/>
      <c r="B664" s="31"/>
      <c r="C664" s="31"/>
      <c r="D664" s="31"/>
      <c r="E664" s="7"/>
      <c r="F664" s="7"/>
      <c r="H664" s="40"/>
      <c r="I664" s="40"/>
      <c r="K664" s="7"/>
      <c r="N664" s="7"/>
      <c r="O664" s="7"/>
    </row>
    <row r="665" spans="1:15" ht="13" x14ac:dyDescent="0.15">
      <c r="A665" s="7"/>
      <c r="B665" s="31"/>
      <c r="C665" s="31"/>
      <c r="D665" s="31"/>
      <c r="E665" s="7"/>
      <c r="F665" s="7"/>
      <c r="H665" s="40"/>
      <c r="I665" s="40"/>
      <c r="K665" s="7"/>
      <c r="N665" s="7"/>
      <c r="O665" s="7"/>
    </row>
    <row r="666" spans="1:15" ht="13" x14ac:dyDescent="0.15">
      <c r="A666" s="7"/>
      <c r="B666" s="31"/>
      <c r="C666" s="31"/>
      <c r="D666" s="31"/>
      <c r="E666" s="7"/>
      <c r="F666" s="7"/>
      <c r="H666" s="40"/>
      <c r="I666" s="40"/>
      <c r="K666" s="7"/>
      <c r="N666" s="7"/>
      <c r="O666" s="7"/>
    </row>
    <row r="667" spans="1:15" ht="13" x14ac:dyDescent="0.15">
      <c r="A667" s="7"/>
      <c r="B667" s="31"/>
      <c r="C667" s="31"/>
      <c r="D667" s="31"/>
      <c r="E667" s="7"/>
      <c r="F667" s="7"/>
      <c r="H667" s="40"/>
      <c r="I667" s="40"/>
      <c r="K667" s="7"/>
      <c r="N667" s="7"/>
      <c r="O667" s="7"/>
    </row>
    <row r="668" spans="1:15" ht="13" x14ac:dyDescent="0.15">
      <c r="A668" s="7"/>
      <c r="B668" s="31"/>
      <c r="C668" s="31"/>
      <c r="D668" s="31"/>
      <c r="E668" s="7"/>
      <c r="F668" s="7"/>
      <c r="H668" s="40"/>
      <c r="I668" s="40"/>
      <c r="K668" s="7"/>
      <c r="N668" s="7"/>
      <c r="O668" s="7"/>
    </row>
    <row r="669" spans="1:15" ht="13" x14ac:dyDescent="0.15">
      <c r="A669" s="7"/>
      <c r="B669" s="31"/>
      <c r="C669" s="31"/>
      <c r="D669" s="31"/>
      <c r="E669" s="7"/>
      <c r="F669" s="7"/>
      <c r="H669" s="40"/>
      <c r="I669" s="40"/>
      <c r="K669" s="7"/>
      <c r="N669" s="7"/>
      <c r="O669" s="7"/>
    </row>
    <row r="670" spans="1:15" ht="13" x14ac:dyDescent="0.15">
      <c r="A670" s="7"/>
      <c r="B670" s="31"/>
      <c r="C670" s="31"/>
      <c r="D670" s="31"/>
      <c r="E670" s="7"/>
      <c r="F670" s="7"/>
      <c r="H670" s="40"/>
      <c r="I670" s="40"/>
      <c r="K670" s="7"/>
      <c r="N670" s="7"/>
      <c r="O670" s="7"/>
    </row>
    <row r="671" spans="1:15" ht="13" x14ac:dyDescent="0.15">
      <c r="A671" s="7"/>
      <c r="B671" s="31"/>
      <c r="C671" s="31"/>
      <c r="D671" s="31"/>
      <c r="E671" s="7"/>
      <c r="F671" s="7"/>
      <c r="H671" s="40"/>
      <c r="I671" s="40"/>
      <c r="K671" s="7"/>
      <c r="N671" s="7"/>
      <c r="O671" s="7"/>
    </row>
    <row r="672" spans="1:15" ht="13" x14ac:dyDescent="0.15">
      <c r="A672" s="7"/>
      <c r="B672" s="31"/>
      <c r="C672" s="31"/>
      <c r="D672" s="31"/>
      <c r="E672" s="7"/>
      <c r="F672" s="7"/>
      <c r="H672" s="40"/>
      <c r="I672" s="40"/>
      <c r="K672" s="7"/>
      <c r="N672" s="7"/>
      <c r="O672" s="7"/>
    </row>
    <row r="673" spans="1:15" ht="13" x14ac:dyDescent="0.15">
      <c r="A673" s="7"/>
      <c r="B673" s="31"/>
      <c r="C673" s="31"/>
      <c r="D673" s="31"/>
      <c r="E673" s="7"/>
      <c r="F673" s="7"/>
      <c r="H673" s="40"/>
      <c r="I673" s="40"/>
      <c r="K673" s="7"/>
      <c r="N673" s="7"/>
      <c r="O673" s="7"/>
    </row>
    <row r="674" spans="1:15" ht="13" x14ac:dyDescent="0.15">
      <c r="A674" s="7"/>
      <c r="B674" s="31"/>
      <c r="C674" s="31"/>
      <c r="D674" s="31"/>
      <c r="E674" s="7"/>
      <c r="F674" s="7"/>
      <c r="H674" s="40"/>
      <c r="I674" s="40"/>
      <c r="K674" s="7"/>
      <c r="N674" s="7"/>
      <c r="O674" s="7"/>
    </row>
    <row r="675" spans="1:15" ht="13" x14ac:dyDescent="0.15">
      <c r="A675" s="7"/>
      <c r="B675" s="31"/>
      <c r="C675" s="31"/>
      <c r="D675" s="31"/>
      <c r="E675" s="7"/>
      <c r="F675" s="7"/>
      <c r="H675" s="40"/>
      <c r="I675" s="40"/>
      <c r="K675" s="7"/>
      <c r="N675" s="7"/>
      <c r="O675" s="7"/>
    </row>
    <row r="676" spans="1:15" ht="13" x14ac:dyDescent="0.15">
      <c r="A676" s="7"/>
      <c r="B676" s="31"/>
      <c r="C676" s="31"/>
      <c r="D676" s="31"/>
      <c r="E676" s="7"/>
      <c r="F676" s="7"/>
      <c r="H676" s="40"/>
      <c r="I676" s="40"/>
      <c r="K676" s="7"/>
      <c r="N676" s="7"/>
      <c r="O676" s="7"/>
    </row>
    <row r="677" spans="1:15" ht="13" x14ac:dyDescent="0.15">
      <c r="A677" s="7"/>
      <c r="B677" s="31"/>
      <c r="C677" s="31"/>
      <c r="D677" s="31"/>
      <c r="E677" s="7"/>
      <c r="F677" s="7"/>
      <c r="H677" s="40"/>
      <c r="I677" s="40"/>
      <c r="K677" s="7"/>
      <c r="N677" s="7"/>
      <c r="O677" s="7"/>
    </row>
    <row r="678" spans="1:15" ht="13" x14ac:dyDescent="0.15">
      <c r="A678" s="7"/>
      <c r="B678" s="31"/>
      <c r="C678" s="31"/>
      <c r="D678" s="31"/>
      <c r="E678" s="7"/>
      <c r="F678" s="7"/>
      <c r="H678" s="40"/>
      <c r="I678" s="40"/>
      <c r="K678" s="7"/>
      <c r="N678" s="7"/>
      <c r="O678" s="7"/>
    </row>
    <row r="679" spans="1:15" ht="13" x14ac:dyDescent="0.15">
      <c r="A679" s="7"/>
      <c r="B679" s="31"/>
      <c r="C679" s="31"/>
      <c r="D679" s="31"/>
      <c r="E679" s="7"/>
      <c r="F679" s="7"/>
      <c r="H679" s="40"/>
      <c r="I679" s="40"/>
      <c r="K679" s="7"/>
      <c r="N679" s="7"/>
      <c r="O679" s="7"/>
    </row>
    <row r="680" spans="1:15" ht="13" x14ac:dyDescent="0.15">
      <c r="A680" s="7"/>
      <c r="B680" s="31"/>
      <c r="C680" s="31"/>
      <c r="D680" s="31"/>
      <c r="E680" s="7"/>
      <c r="F680" s="7"/>
      <c r="H680" s="40"/>
      <c r="I680" s="40"/>
      <c r="K680" s="7"/>
      <c r="N680" s="7"/>
      <c r="O680" s="7"/>
    </row>
    <row r="681" spans="1:15" ht="13" x14ac:dyDescent="0.15">
      <c r="A681" s="7"/>
      <c r="B681" s="31"/>
      <c r="C681" s="31"/>
      <c r="D681" s="31"/>
      <c r="E681" s="7"/>
      <c r="F681" s="7"/>
      <c r="H681" s="40"/>
      <c r="I681" s="40"/>
      <c r="K681" s="7"/>
      <c r="N681" s="7"/>
      <c r="O681" s="7"/>
    </row>
    <row r="682" spans="1:15" ht="13" x14ac:dyDescent="0.15">
      <c r="A682" s="7"/>
      <c r="B682" s="31"/>
      <c r="C682" s="31"/>
      <c r="D682" s="31"/>
      <c r="E682" s="7"/>
      <c r="F682" s="7"/>
      <c r="H682" s="40"/>
      <c r="I682" s="40"/>
      <c r="K682" s="7"/>
      <c r="N682" s="7"/>
      <c r="O682" s="7"/>
    </row>
    <row r="683" spans="1:15" ht="13" x14ac:dyDescent="0.15">
      <c r="A683" s="7"/>
      <c r="B683" s="31"/>
      <c r="C683" s="31"/>
      <c r="D683" s="31"/>
      <c r="E683" s="7"/>
      <c r="F683" s="7"/>
      <c r="H683" s="40"/>
      <c r="I683" s="40"/>
      <c r="K683" s="7"/>
      <c r="N683" s="7"/>
      <c r="O683" s="7"/>
    </row>
    <row r="684" spans="1:15" ht="13" x14ac:dyDescent="0.15">
      <c r="A684" s="7"/>
      <c r="B684" s="31"/>
      <c r="C684" s="31"/>
      <c r="D684" s="31"/>
      <c r="E684" s="7"/>
      <c r="F684" s="7"/>
      <c r="H684" s="40"/>
      <c r="I684" s="40"/>
      <c r="K684" s="7"/>
      <c r="N684" s="7"/>
      <c r="O684" s="7"/>
    </row>
    <row r="685" spans="1:15" ht="13" x14ac:dyDescent="0.15">
      <c r="A685" s="7"/>
      <c r="B685" s="31"/>
      <c r="C685" s="31"/>
      <c r="D685" s="31"/>
      <c r="E685" s="7"/>
      <c r="F685" s="7"/>
      <c r="H685" s="40"/>
      <c r="I685" s="40"/>
      <c r="K685" s="7"/>
      <c r="N685" s="7"/>
      <c r="O685" s="7"/>
    </row>
    <row r="686" spans="1:15" ht="13" x14ac:dyDescent="0.15">
      <c r="A686" s="7"/>
      <c r="B686" s="31"/>
      <c r="C686" s="31"/>
      <c r="D686" s="31"/>
      <c r="E686" s="7"/>
      <c r="F686" s="7"/>
      <c r="H686" s="40"/>
      <c r="I686" s="40"/>
      <c r="K686" s="7"/>
      <c r="N686" s="7"/>
      <c r="O686" s="7"/>
    </row>
    <row r="687" spans="1:15" ht="13" x14ac:dyDescent="0.15">
      <c r="A687" s="7"/>
      <c r="B687" s="31"/>
      <c r="C687" s="31"/>
      <c r="D687" s="31"/>
      <c r="E687" s="7"/>
      <c r="F687" s="7"/>
      <c r="H687" s="40"/>
      <c r="I687" s="40"/>
      <c r="K687" s="7"/>
      <c r="N687" s="7"/>
      <c r="O687" s="7"/>
    </row>
    <row r="688" spans="1:15" ht="13" x14ac:dyDescent="0.15">
      <c r="A688" s="7"/>
      <c r="B688" s="31"/>
      <c r="C688" s="31"/>
      <c r="D688" s="31"/>
      <c r="E688" s="7"/>
      <c r="F688" s="7"/>
      <c r="H688" s="40"/>
      <c r="I688" s="40"/>
      <c r="K688" s="7"/>
      <c r="N688" s="7"/>
      <c r="O688" s="7"/>
    </row>
    <row r="689" spans="1:15" ht="13" x14ac:dyDescent="0.15">
      <c r="A689" s="7"/>
      <c r="B689" s="31"/>
      <c r="C689" s="31"/>
      <c r="D689" s="31"/>
      <c r="E689" s="7"/>
      <c r="F689" s="7"/>
      <c r="H689" s="40"/>
      <c r="I689" s="40"/>
      <c r="K689" s="7"/>
      <c r="N689" s="7"/>
      <c r="O689" s="7"/>
    </row>
    <row r="690" spans="1:15" ht="13" x14ac:dyDescent="0.15">
      <c r="A690" s="7"/>
      <c r="B690" s="31"/>
      <c r="C690" s="31"/>
      <c r="D690" s="31"/>
      <c r="E690" s="7"/>
      <c r="F690" s="7"/>
      <c r="H690" s="40"/>
      <c r="I690" s="40"/>
      <c r="K690" s="7"/>
      <c r="N690" s="7"/>
      <c r="O690" s="7"/>
    </row>
    <row r="691" spans="1:15" ht="13" x14ac:dyDescent="0.15">
      <c r="A691" s="7"/>
      <c r="B691" s="31"/>
      <c r="C691" s="31"/>
      <c r="D691" s="31"/>
      <c r="E691" s="7"/>
      <c r="F691" s="7"/>
      <c r="H691" s="40"/>
      <c r="I691" s="40"/>
      <c r="K691" s="7"/>
      <c r="N691" s="7"/>
      <c r="O691" s="7"/>
    </row>
    <row r="692" spans="1:15" ht="13" x14ac:dyDescent="0.15">
      <c r="A692" s="7"/>
      <c r="B692" s="31"/>
      <c r="C692" s="31"/>
      <c r="D692" s="31"/>
      <c r="E692" s="7"/>
      <c r="F692" s="7"/>
      <c r="H692" s="40"/>
      <c r="I692" s="40"/>
      <c r="K692" s="7"/>
      <c r="N692" s="7"/>
      <c r="O692" s="7"/>
    </row>
    <row r="693" spans="1:15" ht="13" x14ac:dyDescent="0.15">
      <c r="A693" s="7"/>
      <c r="B693" s="31"/>
      <c r="C693" s="31"/>
      <c r="D693" s="31"/>
      <c r="E693" s="7"/>
      <c r="F693" s="7"/>
      <c r="H693" s="40"/>
      <c r="I693" s="40"/>
      <c r="K693" s="7"/>
      <c r="N693" s="7"/>
      <c r="O693" s="7"/>
    </row>
    <row r="694" spans="1:15" ht="13" x14ac:dyDescent="0.15">
      <c r="A694" s="7"/>
      <c r="B694" s="31"/>
      <c r="C694" s="31"/>
      <c r="D694" s="31"/>
      <c r="E694" s="7"/>
      <c r="F694" s="7"/>
      <c r="H694" s="40"/>
      <c r="I694" s="40"/>
      <c r="K694" s="7"/>
      <c r="N694" s="7"/>
      <c r="O694" s="7"/>
    </row>
    <row r="695" spans="1:15" ht="13" x14ac:dyDescent="0.15">
      <c r="A695" s="7"/>
      <c r="B695" s="31"/>
      <c r="C695" s="31"/>
      <c r="D695" s="31"/>
      <c r="E695" s="7"/>
      <c r="F695" s="7"/>
      <c r="H695" s="40"/>
      <c r="I695" s="40"/>
      <c r="K695" s="7"/>
      <c r="N695" s="7"/>
      <c r="O695" s="7"/>
    </row>
    <row r="696" spans="1:15" ht="13" x14ac:dyDescent="0.15">
      <c r="A696" s="7"/>
      <c r="B696" s="31"/>
      <c r="C696" s="31"/>
      <c r="D696" s="31"/>
      <c r="E696" s="7"/>
      <c r="F696" s="7"/>
      <c r="H696" s="40"/>
      <c r="I696" s="40"/>
      <c r="K696" s="7"/>
      <c r="N696" s="7"/>
      <c r="O696" s="7"/>
    </row>
    <row r="697" spans="1:15" ht="13" x14ac:dyDescent="0.15">
      <c r="A697" s="7"/>
      <c r="B697" s="31"/>
      <c r="C697" s="31"/>
      <c r="D697" s="31"/>
      <c r="E697" s="7"/>
      <c r="F697" s="7"/>
      <c r="H697" s="40"/>
      <c r="I697" s="40"/>
      <c r="K697" s="7"/>
      <c r="N697" s="7"/>
      <c r="O697" s="7"/>
    </row>
    <row r="698" spans="1:15" ht="13" x14ac:dyDescent="0.15">
      <c r="A698" s="7"/>
      <c r="B698" s="31"/>
      <c r="C698" s="31"/>
      <c r="D698" s="31"/>
      <c r="E698" s="7"/>
      <c r="F698" s="7"/>
      <c r="H698" s="40"/>
      <c r="I698" s="40"/>
      <c r="K698" s="7"/>
      <c r="N698" s="7"/>
      <c r="O698" s="7"/>
    </row>
    <row r="699" spans="1:15" ht="13" x14ac:dyDescent="0.15">
      <c r="A699" s="7"/>
      <c r="B699" s="31"/>
      <c r="C699" s="31"/>
      <c r="D699" s="31"/>
      <c r="E699" s="7"/>
      <c r="F699" s="7"/>
      <c r="H699" s="40"/>
      <c r="I699" s="40"/>
      <c r="K699" s="7"/>
      <c r="N699" s="7"/>
      <c r="O699" s="7"/>
    </row>
    <row r="700" spans="1:15" ht="13" x14ac:dyDescent="0.15">
      <c r="A700" s="7"/>
      <c r="B700" s="31"/>
      <c r="C700" s="31"/>
      <c r="D700" s="31"/>
      <c r="E700" s="7"/>
      <c r="F700" s="7"/>
      <c r="H700" s="40"/>
      <c r="I700" s="40"/>
      <c r="K700" s="7"/>
      <c r="N700" s="7"/>
      <c r="O700" s="7"/>
    </row>
    <row r="701" spans="1:15" ht="13" x14ac:dyDescent="0.15">
      <c r="A701" s="7"/>
      <c r="B701" s="31"/>
      <c r="C701" s="31"/>
      <c r="D701" s="31"/>
      <c r="E701" s="7"/>
      <c r="F701" s="7"/>
      <c r="H701" s="40"/>
      <c r="I701" s="40"/>
      <c r="K701" s="7"/>
      <c r="N701" s="7"/>
      <c r="O701" s="7"/>
    </row>
    <row r="702" spans="1:15" ht="13" x14ac:dyDescent="0.15">
      <c r="A702" s="7"/>
      <c r="B702" s="31"/>
      <c r="C702" s="31"/>
      <c r="D702" s="31"/>
      <c r="E702" s="7"/>
      <c r="F702" s="7"/>
      <c r="H702" s="40"/>
      <c r="I702" s="40"/>
      <c r="K702" s="7"/>
      <c r="N702" s="7"/>
      <c r="O702" s="7"/>
    </row>
    <row r="703" spans="1:15" ht="13" x14ac:dyDescent="0.15">
      <c r="A703" s="7"/>
      <c r="B703" s="31"/>
      <c r="C703" s="31"/>
      <c r="D703" s="31"/>
      <c r="E703" s="7"/>
      <c r="F703" s="7"/>
      <c r="H703" s="40"/>
      <c r="I703" s="40"/>
      <c r="K703" s="7"/>
      <c r="N703" s="7"/>
      <c r="O703" s="7"/>
    </row>
    <row r="704" spans="1:15" ht="13" x14ac:dyDescent="0.15">
      <c r="A704" s="7"/>
      <c r="B704" s="31"/>
      <c r="C704" s="31"/>
      <c r="D704" s="31"/>
      <c r="E704" s="7"/>
      <c r="F704" s="7"/>
      <c r="H704" s="40"/>
      <c r="I704" s="40"/>
      <c r="K704" s="7"/>
      <c r="N704" s="7"/>
      <c r="O704" s="7"/>
    </row>
    <row r="705" spans="1:15" ht="13" x14ac:dyDescent="0.15">
      <c r="A705" s="7"/>
      <c r="B705" s="31"/>
      <c r="C705" s="31"/>
      <c r="D705" s="31"/>
      <c r="E705" s="7"/>
      <c r="F705" s="7"/>
      <c r="H705" s="40"/>
      <c r="I705" s="40"/>
      <c r="K705" s="7"/>
      <c r="N705" s="7"/>
      <c r="O705" s="7"/>
    </row>
    <row r="706" spans="1:15" ht="13" x14ac:dyDescent="0.15">
      <c r="A706" s="7"/>
      <c r="B706" s="31"/>
      <c r="C706" s="31"/>
      <c r="D706" s="31"/>
      <c r="E706" s="7"/>
      <c r="F706" s="7"/>
      <c r="H706" s="40"/>
      <c r="I706" s="40"/>
      <c r="K706" s="7"/>
      <c r="N706" s="7"/>
      <c r="O706" s="7"/>
    </row>
    <row r="707" spans="1:15" ht="13" x14ac:dyDescent="0.15">
      <c r="A707" s="7"/>
      <c r="B707" s="31"/>
      <c r="C707" s="31"/>
      <c r="D707" s="31"/>
      <c r="E707" s="7"/>
      <c r="F707" s="7"/>
      <c r="H707" s="40"/>
      <c r="I707" s="40"/>
      <c r="K707" s="7"/>
      <c r="N707" s="7"/>
      <c r="O707" s="7"/>
    </row>
    <row r="708" spans="1:15" ht="13" x14ac:dyDescent="0.15">
      <c r="A708" s="7"/>
      <c r="B708" s="31"/>
      <c r="C708" s="31"/>
      <c r="D708" s="31"/>
      <c r="E708" s="7"/>
      <c r="F708" s="7"/>
      <c r="H708" s="40"/>
      <c r="I708" s="40"/>
      <c r="K708" s="7"/>
      <c r="N708" s="7"/>
      <c r="O708" s="7"/>
    </row>
    <row r="709" spans="1:15" ht="13" x14ac:dyDescent="0.15">
      <c r="A709" s="7"/>
      <c r="B709" s="31"/>
      <c r="C709" s="31"/>
      <c r="D709" s="31"/>
      <c r="E709" s="7"/>
      <c r="F709" s="7"/>
      <c r="H709" s="40"/>
      <c r="I709" s="40"/>
      <c r="K709" s="7"/>
      <c r="N709" s="7"/>
      <c r="O709" s="7"/>
    </row>
    <row r="710" spans="1:15" ht="13" x14ac:dyDescent="0.15">
      <c r="A710" s="7"/>
      <c r="B710" s="31"/>
      <c r="C710" s="31"/>
      <c r="D710" s="31"/>
      <c r="E710" s="7"/>
      <c r="F710" s="7"/>
      <c r="H710" s="40"/>
      <c r="I710" s="40"/>
      <c r="K710" s="7"/>
      <c r="N710" s="7"/>
      <c r="O710" s="7"/>
    </row>
    <row r="711" spans="1:15" ht="13" x14ac:dyDescent="0.15">
      <c r="A711" s="7"/>
      <c r="B711" s="31"/>
      <c r="C711" s="31"/>
      <c r="D711" s="31"/>
      <c r="E711" s="7"/>
      <c r="F711" s="7"/>
      <c r="H711" s="40"/>
      <c r="I711" s="40"/>
      <c r="K711" s="7"/>
      <c r="N711" s="7"/>
      <c r="O711" s="7"/>
    </row>
    <row r="712" spans="1:15" ht="13" x14ac:dyDescent="0.15">
      <c r="A712" s="7"/>
      <c r="B712" s="31"/>
      <c r="C712" s="31"/>
      <c r="D712" s="31"/>
      <c r="E712" s="7"/>
      <c r="F712" s="7"/>
      <c r="H712" s="40"/>
      <c r="I712" s="40"/>
      <c r="K712" s="7"/>
      <c r="N712" s="7"/>
      <c r="O712" s="7"/>
    </row>
    <row r="713" spans="1:15" ht="13" x14ac:dyDescent="0.15">
      <c r="A713" s="7"/>
      <c r="B713" s="31"/>
      <c r="C713" s="31"/>
      <c r="D713" s="31"/>
      <c r="E713" s="7"/>
      <c r="F713" s="7"/>
      <c r="H713" s="40"/>
      <c r="I713" s="40"/>
      <c r="K713" s="7"/>
      <c r="N713" s="7"/>
      <c r="O713" s="7"/>
    </row>
    <row r="714" spans="1:15" ht="13" x14ac:dyDescent="0.15">
      <c r="A714" s="7"/>
      <c r="B714" s="31"/>
      <c r="C714" s="31"/>
      <c r="D714" s="31"/>
      <c r="E714" s="7"/>
      <c r="F714" s="7"/>
      <c r="H714" s="40"/>
      <c r="I714" s="40"/>
      <c r="K714" s="7"/>
      <c r="N714" s="7"/>
      <c r="O714" s="7"/>
    </row>
    <row r="715" spans="1:15" ht="13" x14ac:dyDescent="0.15">
      <c r="A715" s="7"/>
      <c r="B715" s="31"/>
      <c r="C715" s="31"/>
      <c r="D715" s="31"/>
      <c r="E715" s="7"/>
      <c r="F715" s="7"/>
      <c r="H715" s="40"/>
      <c r="I715" s="40"/>
      <c r="K715" s="7"/>
      <c r="N715" s="7"/>
      <c r="O715" s="7"/>
    </row>
    <row r="716" spans="1:15" ht="13" x14ac:dyDescent="0.15">
      <c r="A716" s="7"/>
      <c r="B716" s="31"/>
      <c r="C716" s="31"/>
      <c r="D716" s="31"/>
      <c r="E716" s="7"/>
      <c r="F716" s="7"/>
      <c r="H716" s="40"/>
      <c r="I716" s="40"/>
      <c r="K716" s="7"/>
      <c r="N716" s="7"/>
      <c r="O716" s="7"/>
    </row>
    <row r="717" spans="1:15" ht="13" x14ac:dyDescent="0.15">
      <c r="A717" s="7"/>
      <c r="B717" s="31"/>
      <c r="C717" s="31"/>
      <c r="D717" s="31"/>
      <c r="E717" s="7"/>
      <c r="F717" s="7"/>
      <c r="H717" s="40"/>
      <c r="I717" s="40"/>
      <c r="K717" s="7"/>
      <c r="N717" s="7"/>
      <c r="O717" s="7"/>
    </row>
    <row r="718" spans="1:15" ht="13" x14ac:dyDescent="0.15">
      <c r="A718" s="7"/>
      <c r="B718" s="31"/>
      <c r="C718" s="31"/>
      <c r="D718" s="31"/>
      <c r="E718" s="7"/>
      <c r="F718" s="7"/>
      <c r="H718" s="40"/>
      <c r="I718" s="40"/>
      <c r="K718" s="7"/>
      <c r="N718" s="7"/>
      <c r="O718" s="7"/>
    </row>
    <row r="719" spans="1:15" ht="13" x14ac:dyDescent="0.15">
      <c r="A719" s="7"/>
      <c r="B719" s="31"/>
      <c r="C719" s="31"/>
      <c r="D719" s="31"/>
      <c r="E719" s="7"/>
      <c r="F719" s="7"/>
      <c r="H719" s="40"/>
      <c r="I719" s="40"/>
      <c r="K719" s="7"/>
      <c r="N719" s="7"/>
      <c r="O719" s="7"/>
    </row>
    <row r="720" spans="1:15" ht="13" x14ac:dyDescent="0.15">
      <c r="A720" s="7"/>
      <c r="B720" s="31"/>
      <c r="C720" s="31"/>
      <c r="D720" s="31"/>
      <c r="E720" s="7"/>
      <c r="F720" s="7"/>
      <c r="H720" s="40"/>
      <c r="I720" s="40"/>
      <c r="K720" s="7"/>
      <c r="N720" s="7"/>
      <c r="O720" s="7"/>
    </row>
    <row r="721" spans="1:15" ht="13" x14ac:dyDescent="0.15">
      <c r="A721" s="7"/>
      <c r="B721" s="31"/>
      <c r="C721" s="31"/>
      <c r="D721" s="31"/>
      <c r="E721" s="7"/>
      <c r="F721" s="7"/>
      <c r="H721" s="40"/>
      <c r="I721" s="40"/>
      <c r="K721" s="7"/>
      <c r="N721" s="7"/>
      <c r="O721" s="7"/>
    </row>
    <row r="722" spans="1:15" ht="13" x14ac:dyDescent="0.15">
      <c r="A722" s="7"/>
      <c r="B722" s="31"/>
      <c r="C722" s="31"/>
      <c r="D722" s="31"/>
      <c r="E722" s="7"/>
      <c r="F722" s="7"/>
      <c r="H722" s="40"/>
      <c r="I722" s="40"/>
      <c r="K722" s="7"/>
      <c r="N722" s="7"/>
      <c r="O722" s="7"/>
    </row>
    <row r="723" spans="1:15" ht="13" x14ac:dyDescent="0.15">
      <c r="A723" s="7"/>
      <c r="B723" s="31"/>
      <c r="C723" s="31"/>
      <c r="D723" s="31"/>
      <c r="E723" s="7"/>
      <c r="F723" s="7"/>
      <c r="H723" s="40"/>
      <c r="I723" s="40"/>
      <c r="K723" s="7"/>
      <c r="N723" s="7"/>
      <c r="O723" s="7"/>
    </row>
    <row r="724" spans="1:15" ht="13" x14ac:dyDescent="0.15">
      <c r="A724" s="7"/>
      <c r="B724" s="31"/>
      <c r="C724" s="31"/>
      <c r="D724" s="31"/>
      <c r="E724" s="7"/>
      <c r="F724" s="7"/>
      <c r="H724" s="40"/>
      <c r="I724" s="40"/>
      <c r="K724" s="7"/>
      <c r="N724" s="7"/>
      <c r="O724" s="7"/>
    </row>
    <row r="725" spans="1:15" ht="13" x14ac:dyDescent="0.15">
      <c r="A725" s="7"/>
      <c r="B725" s="31"/>
      <c r="C725" s="31"/>
      <c r="D725" s="31"/>
      <c r="E725" s="7"/>
      <c r="F725" s="7"/>
      <c r="H725" s="40"/>
      <c r="I725" s="40"/>
      <c r="K725" s="7"/>
      <c r="N725" s="7"/>
      <c r="O725" s="7"/>
    </row>
    <row r="726" spans="1:15" ht="13" x14ac:dyDescent="0.15">
      <c r="A726" s="7"/>
      <c r="B726" s="31"/>
      <c r="C726" s="31"/>
      <c r="D726" s="31"/>
      <c r="E726" s="7"/>
      <c r="F726" s="7"/>
      <c r="H726" s="40"/>
      <c r="I726" s="40"/>
      <c r="K726" s="7"/>
      <c r="N726" s="7"/>
      <c r="O726" s="7"/>
    </row>
    <row r="727" spans="1:15" ht="13" x14ac:dyDescent="0.15">
      <c r="A727" s="7"/>
      <c r="B727" s="31"/>
      <c r="C727" s="31"/>
      <c r="D727" s="31"/>
      <c r="E727" s="7"/>
      <c r="F727" s="7"/>
      <c r="H727" s="40"/>
      <c r="I727" s="40"/>
      <c r="K727" s="7"/>
      <c r="N727" s="7"/>
      <c r="O727" s="7"/>
    </row>
    <row r="728" spans="1:15" ht="13" x14ac:dyDescent="0.15">
      <c r="A728" s="7"/>
      <c r="B728" s="31"/>
      <c r="C728" s="31"/>
      <c r="D728" s="31"/>
      <c r="E728" s="7"/>
      <c r="F728" s="7"/>
      <c r="H728" s="40"/>
      <c r="I728" s="40"/>
      <c r="K728" s="7"/>
      <c r="N728" s="7"/>
      <c r="O728" s="7"/>
    </row>
    <row r="729" spans="1:15" ht="13" x14ac:dyDescent="0.15">
      <c r="A729" s="7"/>
      <c r="B729" s="31"/>
      <c r="C729" s="31"/>
      <c r="D729" s="31"/>
      <c r="E729" s="7"/>
      <c r="F729" s="7"/>
      <c r="H729" s="40"/>
      <c r="I729" s="40"/>
      <c r="K729" s="7"/>
      <c r="N729" s="7"/>
      <c r="O729" s="7"/>
    </row>
    <row r="730" spans="1:15" ht="13" x14ac:dyDescent="0.15">
      <c r="A730" s="7"/>
      <c r="B730" s="31"/>
      <c r="C730" s="31"/>
      <c r="D730" s="31"/>
      <c r="E730" s="7"/>
      <c r="F730" s="7"/>
      <c r="H730" s="40"/>
      <c r="I730" s="40"/>
      <c r="K730" s="7"/>
      <c r="N730" s="7"/>
      <c r="O730" s="7"/>
    </row>
    <row r="731" spans="1:15" ht="13" x14ac:dyDescent="0.15">
      <c r="A731" s="7"/>
      <c r="B731" s="31"/>
      <c r="C731" s="31"/>
      <c r="D731" s="31"/>
      <c r="E731" s="7"/>
      <c r="F731" s="7"/>
      <c r="H731" s="40"/>
      <c r="I731" s="40"/>
      <c r="K731" s="7"/>
      <c r="N731" s="7"/>
      <c r="O731" s="7"/>
    </row>
    <row r="732" spans="1:15" ht="13" x14ac:dyDescent="0.15">
      <c r="A732" s="7"/>
      <c r="B732" s="31"/>
      <c r="C732" s="31"/>
      <c r="D732" s="31"/>
      <c r="E732" s="7"/>
      <c r="F732" s="7"/>
      <c r="H732" s="40"/>
      <c r="I732" s="40"/>
      <c r="K732" s="7"/>
      <c r="N732" s="7"/>
      <c r="O732" s="7"/>
    </row>
    <row r="733" spans="1:15" ht="13" x14ac:dyDescent="0.15">
      <c r="A733" s="7"/>
      <c r="B733" s="31"/>
      <c r="C733" s="31"/>
      <c r="D733" s="31"/>
      <c r="E733" s="7"/>
      <c r="F733" s="7"/>
      <c r="H733" s="40"/>
      <c r="I733" s="40"/>
      <c r="K733" s="7"/>
      <c r="N733" s="7"/>
      <c r="O733" s="7"/>
    </row>
    <row r="734" spans="1:15" ht="13" x14ac:dyDescent="0.15">
      <c r="A734" s="7"/>
      <c r="B734" s="31"/>
      <c r="C734" s="31"/>
      <c r="D734" s="31"/>
      <c r="E734" s="7"/>
      <c r="F734" s="7"/>
      <c r="H734" s="40"/>
      <c r="I734" s="40"/>
      <c r="K734" s="7"/>
      <c r="N734" s="7"/>
      <c r="O734" s="7"/>
    </row>
    <row r="735" spans="1:15" ht="13" x14ac:dyDescent="0.15">
      <c r="A735" s="7"/>
      <c r="B735" s="31"/>
      <c r="C735" s="31"/>
      <c r="D735" s="31"/>
      <c r="E735" s="7"/>
      <c r="F735" s="7"/>
      <c r="H735" s="40"/>
      <c r="I735" s="40"/>
      <c r="K735" s="7"/>
      <c r="N735" s="7"/>
      <c r="O735" s="7"/>
    </row>
    <row r="736" spans="1:15" ht="13" x14ac:dyDescent="0.15">
      <c r="A736" s="7"/>
      <c r="B736" s="31"/>
      <c r="C736" s="31"/>
      <c r="D736" s="31"/>
      <c r="E736" s="7"/>
      <c r="F736" s="7"/>
      <c r="H736" s="40"/>
      <c r="I736" s="40"/>
      <c r="K736" s="7"/>
      <c r="N736" s="7"/>
      <c r="O736" s="7"/>
    </row>
    <row r="737" spans="1:15" ht="13" x14ac:dyDescent="0.15">
      <c r="A737" s="7"/>
      <c r="B737" s="31"/>
      <c r="C737" s="31"/>
      <c r="D737" s="31"/>
      <c r="E737" s="7"/>
      <c r="F737" s="7"/>
      <c r="H737" s="40"/>
      <c r="I737" s="40"/>
      <c r="K737" s="7"/>
      <c r="N737" s="7"/>
      <c r="O737" s="7"/>
    </row>
    <row r="738" spans="1:15" ht="13" x14ac:dyDescent="0.15">
      <c r="A738" s="7"/>
      <c r="B738" s="31"/>
      <c r="C738" s="31"/>
      <c r="D738" s="31"/>
      <c r="E738" s="7"/>
      <c r="F738" s="7"/>
      <c r="H738" s="40"/>
      <c r="I738" s="40"/>
      <c r="K738" s="7"/>
      <c r="N738" s="7"/>
      <c r="O738" s="7"/>
    </row>
    <row r="739" spans="1:15" ht="13" x14ac:dyDescent="0.15">
      <c r="A739" s="7"/>
      <c r="B739" s="31"/>
      <c r="C739" s="31"/>
      <c r="D739" s="31"/>
      <c r="E739" s="7"/>
      <c r="F739" s="7"/>
      <c r="H739" s="40"/>
      <c r="I739" s="40"/>
      <c r="K739" s="7"/>
      <c r="N739" s="7"/>
      <c r="O739" s="7"/>
    </row>
    <row r="740" spans="1:15" ht="13" x14ac:dyDescent="0.15">
      <c r="A740" s="7"/>
      <c r="B740" s="31"/>
      <c r="C740" s="31"/>
      <c r="D740" s="31"/>
      <c r="E740" s="7"/>
      <c r="F740" s="7"/>
      <c r="H740" s="40"/>
      <c r="I740" s="40"/>
      <c r="K740" s="7"/>
      <c r="N740" s="7"/>
      <c r="O740" s="7"/>
    </row>
    <row r="741" spans="1:15" ht="13" x14ac:dyDescent="0.15">
      <c r="A741" s="7"/>
      <c r="B741" s="31"/>
      <c r="C741" s="31"/>
      <c r="D741" s="31"/>
      <c r="E741" s="7"/>
      <c r="F741" s="7"/>
      <c r="H741" s="40"/>
      <c r="I741" s="40"/>
      <c r="K741" s="7"/>
      <c r="N741" s="7"/>
      <c r="O741" s="7"/>
    </row>
    <row r="742" spans="1:15" ht="13" x14ac:dyDescent="0.15">
      <c r="A742" s="7"/>
      <c r="B742" s="31"/>
      <c r="C742" s="31"/>
      <c r="D742" s="31"/>
      <c r="E742" s="7"/>
      <c r="F742" s="7"/>
      <c r="H742" s="40"/>
      <c r="I742" s="40"/>
      <c r="K742" s="7"/>
      <c r="N742" s="7"/>
      <c r="O742" s="7"/>
    </row>
    <row r="743" spans="1:15" ht="13" x14ac:dyDescent="0.15">
      <c r="A743" s="7"/>
      <c r="B743" s="31"/>
      <c r="C743" s="31"/>
      <c r="D743" s="31"/>
      <c r="E743" s="7"/>
      <c r="F743" s="7"/>
      <c r="H743" s="40"/>
      <c r="I743" s="40"/>
      <c r="K743" s="7"/>
      <c r="N743" s="7"/>
      <c r="O743" s="7"/>
    </row>
    <row r="744" spans="1:15" ht="13" x14ac:dyDescent="0.15">
      <c r="A744" s="7"/>
      <c r="B744" s="31"/>
      <c r="C744" s="31"/>
      <c r="D744" s="31"/>
      <c r="E744" s="7"/>
      <c r="F744" s="7"/>
      <c r="H744" s="40"/>
      <c r="I744" s="40"/>
      <c r="K744" s="7"/>
      <c r="N744" s="7"/>
      <c r="O744" s="7"/>
    </row>
    <row r="745" spans="1:15" ht="13" x14ac:dyDescent="0.15">
      <c r="A745" s="7"/>
      <c r="B745" s="31"/>
      <c r="C745" s="31"/>
      <c r="D745" s="31"/>
      <c r="E745" s="7"/>
      <c r="F745" s="7"/>
      <c r="H745" s="40"/>
      <c r="I745" s="40"/>
      <c r="K745" s="7"/>
      <c r="N745" s="7"/>
      <c r="O745" s="7"/>
    </row>
    <row r="746" spans="1:15" ht="13" x14ac:dyDescent="0.15">
      <c r="A746" s="7"/>
      <c r="B746" s="31"/>
      <c r="C746" s="31"/>
      <c r="D746" s="31"/>
      <c r="E746" s="7"/>
      <c r="F746" s="7"/>
      <c r="H746" s="40"/>
      <c r="I746" s="40"/>
      <c r="K746" s="7"/>
      <c r="N746" s="7"/>
      <c r="O746" s="7"/>
    </row>
    <row r="747" spans="1:15" ht="13" x14ac:dyDescent="0.15">
      <c r="A747" s="7"/>
      <c r="B747" s="31"/>
      <c r="C747" s="31"/>
      <c r="D747" s="31"/>
      <c r="E747" s="7"/>
      <c r="F747" s="7"/>
      <c r="H747" s="40"/>
      <c r="I747" s="40"/>
      <c r="K747" s="7"/>
      <c r="N747" s="7"/>
      <c r="O747" s="7"/>
    </row>
    <row r="748" spans="1:15" ht="13" x14ac:dyDescent="0.15">
      <c r="A748" s="7"/>
      <c r="B748" s="31"/>
      <c r="C748" s="31"/>
      <c r="D748" s="31"/>
      <c r="E748" s="7"/>
      <c r="F748" s="7"/>
      <c r="H748" s="40"/>
      <c r="I748" s="40"/>
      <c r="K748" s="7"/>
      <c r="N748" s="7"/>
      <c r="O748" s="7"/>
    </row>
    <row r="749" spans="1:15" ht="13" x14ac:dyDescent="0.15">
      <c r="A749" s="7"/>
      <c r="B749" s="31"/>
      <c r="C749" s="31"/>
      <c r="D749" s="31"/>
      <c r="E749" s="7"/>
      <c r="F749" s="7"/>
      <c r="H749" s="40"/>
      <c r="I749" s="40"/>
      <c r="K749" s="7"/>
      <c r="N749" s="7"/>
      <c r="O749" s="7"/>
    </row>
    <row r="750" spans="1:15" ht="13" x14ac:dyDescent="0.15">
      <c r="A750" s="7"/>
      <c r="B750" s="31"/>
      <c r="C750" s="31"/>
      <c r="D750" s="31"/>
      <c r="E750" s="7"/>
      <c r="F750" s="7"/>
      <c r="H750" s="40"/>
      <c r="I750" s="40"/>
      <c r="K750" s="7"/>
      <c r="N750" s="7"/>
      <c r="O750" s="7"/>
    </row>
    <row r="751" spans="1:15" ht="13" x14ac:dyDescent="0.15">
      <c r="A751" s="7"/>
      <c r="B751" s="31"/>
      <c r="C751" s="31"/>
      <c r="D751" s="31"/>
      <c r="E751" s="7"/>
      <c r="F751" s="7"/>
      <c r="H751" s="40"/>
      <c r="I751" s="40"/>
      <c r="K751" s="7"/>
      <c r="N751" s="7"/>
      <c r="O751" s="7"/>
    </row>
    <row r="752" spans="1:15" ht="13" x14ac:dyDescent="0.15">
      <c r="A752" s="7"/>
      <c r="B752" s="31"/>
      <c r="C752" s="31"/>
      <c r="D752" s="31"/>
      <c r="E752" s="7"/>
      <c r="F752" s="7"/>
      <c r="H752" s="40"/>
      <c r="I752" s="40"/>
      <c r="K752" s="7"/>
      <c r="N752" s="7"/>
      <c r="O752" s="7"/>
    </row>
    <row r="753" spans="1:15" ht="13" x14ac:dyDescent="0.15">
      <c r="A753" s="7"/>
      <c r="B753" s="31"/>
      <c r="C753" s="31"/>
      <c r="D753" s="31"/>
      <c r="E753" s="7"/>
      <c r="F753" s="7"/>
      <c r="H753" s="40"/>
      <c r="I753" s="40"/>
      <c r="K753" s="7"/>
      <c r="N753" s="7"/>
      <c r="O753" s="7"/>
    </row>
    <row r="754" spans="1:15" ht="13" x14ac:dyDescent="0.15">
      <c r="A754" s="7"/>
      <c r="B754" s="31"/>
      <c r="C754" s="31"/>
      <c r="D754" s="31"/>
      <c r="E754" s="7"/>
      <c r="F754" s="7"/>
      <c r="H754" s="40"/>
      <c r="I754" s="40"/>
      <c r="K754" s="7"/>
      <c r="N754" s="7"/>
      <c r="O754" s="7"/>
    </row>
    <row r="755" spans="1:15" ht="13" x14ac:dyDescent="0.15">
      <c r="A755" s="7"/>
      <c r="B755" s="31"/>
      <c r="C755" s="31"/>
      <c r="D755" s="31"/>
      <c r="E755" s="7"/>
      <c r="F755" s="7"/>
      <c r="H755" s="40"/>
      <c r="I755" s="40"/>
      <c r="K755" s="7"/>
      <c r="N755" s="7"/>
      <c r="O755" s="7"/>
    </row>
    <row r="756" spans="1:15" ht="13" x14ac:dyDescent="0.15">
      <c r="A756" s="7"/>
      <c r="B756" s="31"/>
      <c r="C756" s="31"/>
      <c r="D756" s="31"/>
      <c r="E756" s="7"/>
      <c r="F756" s="7"/>
      <c r="H756" s="40"/>
      <c r="I756" s="40"/>
      <c r="K756" s="7"/>
      <c r="N756" s="7"/>
      <c r="O756" s="7"/>
    </row>
    <row r="757" spans="1:15" ht="13" x14ac:dyDescent="0.15">
      <c r="A757" s="7"/>
      <c r="B757" s="31"/>
      <c r="C757" s="31"/>
      <c r="D757" s="31"/>
      <c r="E757" s="7"/>
      <c r="F757" s="7"/>
      <c r="H757" s="40"/>
      <c r="I757" s="40"/>
      <c r="K757" s="7"/>
      <c r="N757" s="7"/>
      <c r="O757" s="7"/>
    </row>
    <row r="758" spans="1:15" ht="13" x14ac:dyDescent="0.15">
      <c r="A758" s="7"/>
      <c r="B758" s="31"/>
      <c r="C758" s="31"/>
      <c r="D758" s="31"/>
      <c r="E758" s="7"/>
      <c r="F758" s="7"/>
      <c r="H758" s="40"/>
      <c r="I758" s="40"/>
      <c r="K758" s="7"/>
      <c r="N758" s="7"/>
      <c r="O758" s="7"/>
    </row>
    <row r="759" spans="1:15" ht="13" x14ac:dyDescent="0.15">
      <c r="A759" s="7"/>
      <c r="B759" s="31"/>
      <c r="C759" s="31"/>
      <c r="D759" s="31"/>
      <c r="E759" s="7"/>
      <c r="F759" s="7"/>
      <c r="H759" s="40"/>
      <c r="I759" s="40"/>
      <c r="K759" s="7"/>
      <c r="N759" s="7"/>
      <c r="O759" s="7"/>
    </row>
    <row r="760" spans="1:15" ht="13" x14ac:dyDescent="0.15">
      <c r="A760" s="7"/>
      <c r="B760" s="31"/>
      <c r="C760" s="31"/>
      <c r="D760" s="31"/>
      <c r="E760" s="7"/>
      <c r="F760" s="7"/>
      <c r="H760" s="40"/>
      <c r="I760" s="40"/>
      <c r="K760" s="7"/>
      <c r="N760" s="7"/>
      <c r="O760" s="7"/>
    </row>
    <row r="761" spans="1:15" ht="13" x14ac:dyDescent="0.15">
      <c r="A761" s="7"/>
      <c r="B761" s="31"/>
      <c r="C761" s="31"/>
      <c r="D761" s="31"/>
      <c r="E761" s="7"/>
      <c r="F761" s="7"/>
      <c r="H761" s="40"/>
      <c r="I761" s="40"/>
      <c r="K761" s="7"/>
      <c r="N761" s="7"/>
      <c r="O761" s="7"/>
    </row>
    <row r="762" spans="1:15" ht="13" x14ac:dyDescent="0.15">
      <c r="A762" s="7"/>
      <c r="B762" s="31"/>
      <c r="C762" s="31"/>
      <c r="D762" s="31"/>
      <c r="E762" s="7"/>
      <c r="F762" s="7"/>
      <c r="H762" s="40"/>
      <c r="I762" s="40"/>
      <c r="K762" s="7"/>
      <c r="N762" s="7"/>
      <c r="O762" s="7"/>
    </row>
    <row r="763" spans="1:15" ht="13" x14ac:dyDescent="0.15">
      <c r="A763" s="7"/>
      <c r="B763" s="31"/>
      <c r="C763" s="31"/>
      <c r="D763" s="31"/>
      <c r="E763" s="7"/>
      <c r="F763" s="7"/>
      <c r="H763" s="40"/>
      <c r="I763" s="40"/>
      <c r="K763" s="7"/>
      <c r="N763" s="7"/>
      <c r="O763" s="7"/>
    </row>
    <row r="764" spans="1:15" ht="13" x14ac:dyDescent="0.15">
      <c r="A764" s="7"/>
      <c r="B764" s="31"/>
      <c r="C764" s="31"/>
      <c r="D764" s="31"/>
      <c r="E764" s="7"/>
      <c r="F764" s="7"/>
      <c r="H764" s="40"/>
      <c r="I764" s="40"/>
      <c r="K764" s="7"/>
      <c r="N764" s="7"/>
      <c r="O764" s="7"/>
    </row>
    <row r="765" spans="1:15" ht="13" x14ac:dyDescent="0.15">
      <c r="A765" s="7"/>
      <c r="B765" s="31"/>
      <c r="C765" s="31"/>
      <c r="D765" s="31"/>
      <c r="E765" s="7"/>
      <c r="F765" s="7"/>
      <c r="H765" s="40"/>
      <c r="I765" s="40"/>
      <c r="K765" s="7"/>
      <c r="N765" s="7"/>
      <c r="O765" s="7"/>
    </row>
    <row r="766" spans="1:15" ht="13" x14ac:dyDescent="0.15">
      <c r="A766" s="7"/>
      <c r="B766" s="31"/>
      <c r="C766" s="31"/>
      <c r="D766" s="31"/>
      <c r="E766" s="7"/>
      <c r="F766" s="7"/>
      <c r="H766" s="40"/>
      <c r="I766" s="40"/>
      <c r="K766" s="7"/>
      <c r="N766" s="7"/>
      <c r="O766" s="7"/>
    </row>
    <row r="767" spans="1:15" ht="13" x14ac:dyDescent="0.15">
      <c r="A767" s="7"/>
      <c r="B767" s="31"/>
      <c r="C767" s="31"/>
      <c r="D767" s="31"/>
      <c r="E767" s="7"/>
      <c r="F767" s="7"/>
      <c r="H767" s="40"/>
      <c r="I767" s="40"/>
      <c r="K767" s="7"/>
      <c r="N767" s="7"/>
      <c r="O767" s="7"/>
    </row>
    <row r="768" spans="1:15" ht="13" x14ac:dyDescent="0.15">
      <c r="A768" s="7"/>
      <c r="B768" s="31"/>
      <c r="C768" s="31"/>
      <c r="D768" s="31"/>
      <c r="E768" s="7"/>
      <c r="F768" s="7"/>
      <c r="H768" s="40"/>
      <c r="I768" s="40"/>
      <c r="K768" s="7"/>
      <c r="N768" s="7"/>
      <c r="O768" s="7"/>
    </row>
    <row r="769" spans="1:15" ht="13" x14ac:dyDescent="0.15">
      <c r="A769" s="7"/>
      <c r="B769" s="31"/>
      <c r="C769" s="31"/>
      <c r="D769" s="31"/>
      <c r="E769" s="7"/>
      <c r="F769" s="7"/>
      <c r="H769" s="40"/>
      <c r="I769" s="40"/>
      <c r="K769" s="7"/>
      <c r="N769" s="7"/>
      <c r="O769" s="7"/>
    </row>
    <row r="770" spans="1:15" ht="13" x14ac:dyDescent="0.15">
      <c r="A770" s="7"/>
      <c r="B770" s="31"/>
      <c r="C770" s="31"/>
      <c r="D770" s="31"/>
      <c r="E770" s="7"/>
      <c r="F770" s="7"/>
      <c r="H770" s="40"/>
      <c r="I770" s="40"/>
      <c r="K770" s="7"/>
      <c r="N770" s="7"/>
      <c r="O770" s="7"/>
    </row>
    <row r="771" spans="1:15" ht="13" x14ac:dyDescent="0.15">
      <c r="A771" s="7"/>
      <c r="B771" s="31"/>
      <c r="C771" s="31"/>
      <c r="D771" s="31"/>
      <c r="E771" s="7"/>
      <c r="F771" s="7"/>
      <c r="H771" s="40"/>
      <c r="I771" s="40"/>
      <c r="K771" s="7"/>
      <c r="N771" s="7"/>
      <c r="O771" s="7"/>
    </row>
    <row r="772" spans="1:15" ht="13" x14ac:dyDescent="0.15">
      <c r="A772" s="7"/>
      <c r="B772" s="31"/>
      <c r="C772" s="31"/>
      <c r="D772" s="31"/>
      <c r="E772" s="7"/>
      <c r="F772" s="7"/>
      <c r="H772" s="40"/>
      <c r="I772" s="40"/>
      <c r="K772" s="7"/>
      <c r="N772" s="7"/>
      <c r="O772" s="7"/>
    </row>
    <row r="773" spans="1:15" ht="13" x14ac:dyDescent="0.15">
      <c r="A773" s="7"/>
      <c r="B773" s="31"/>
      <c r="C773" s="31"/>
      <c r="D773" s="31"/>
      <c r="E773" s="7"/>
      <c r="F773" s="7"/>
      <c r="H773" s="40"/>
      <c r="I773" s="40"/>
      <c r="K773" s="7"/>
      <c r="N773" s="7"/>
      <c r="O773" s="7"/>
    </row>
    <row r="774" spans="1:15" ht="13" x14ac:dyDescent="0.15">
      <c r="A774" s="7"/>
      <c r="B774" s="31"/>
      <c r="C774" s="31"/>
      <c r="D774" s="31"/>
      <c r="E774" s="7"/>
      <c r="F774" s="7"/>
      <c r="H774" s="40"/>
      <c r="I774" s="40"/>
      <c r="K774" s="7"/>
      <c r="N774" s="7"/>
      <c r="O774" s="7"/>
    </row>
    <row r="775" spans="1:15" ht="13" x14ac:dyDescent="0.15">
      <c r="A775" s="7"/>
      <c r="B775" s="31"/>
      <c r="C775" s="31"/>
      <c r="D775" s="31"/>
      <c r="E775" s="7"/>
      <c r="F775" s="7"/>
      <c r="H775" s="40"/>
      <c r="I775" s="40"/>
      <c r="K775" s="7"/>
      <c r="N775" s="7"/>
      <c r="O775" s="7"/>
    </row>
    <row r="776" spans="1:15" ht="13" x14ac:dyDescent="0.15">
      <c r="A776" s="7"/>
      <c r="B776" s="31"/>
      <c r="C776" s="31"/>
      <c r="D776" s="31"/>
      <c r="E776" s="7"/>
      <c r="F776" s="7"/>
      <c r="H776" s="40"/>
      <c r="I776" s="40"/>
      <c r="K776" s="7"/>
      <c r="N776" s="7"/>
      <c r="O776" s="7"/>
    </row>
    <row r="777" spans="1:15" ht="13" x14ac:dyDescent="0.15">
      <c r="A777" s="7"/>
      <c r="B777" s="31"/>
      <c r="C777" s="31"/>
      <c r="D777" s="31"/>
      <c r="E777" s="7"/>
      <c r="F777" s="7"/>
      <c r="H777" s="40"/>
      <c r="I777" s="40"/>
      <c r="K777" s="7"/>
      <c r="N777" s="7"/>
      <c r="O777" s="7"/>
    </row>
    <row r="778" spans="1:15" ht="13" x14ac:dyDescent="0.15">
      <c r="A778" s="7"/>
      <c r="B778" s="31"/>
      <c r="C778" s="31"/>
      <c r="D778" s="31"/>
      <c r="E778" s="7"/>
      <c r="F778" s="7"/>
      <c r="H778" s="40"/>
      <c r="I778" s="40"/>
      <c r="K778" s="7"/>
      <c r="N778" s="7"/>
      <c r="O778" s="7"/>
    </row>
    <row r="779" spans="1:15" ht="13" x14ac:dyDescent="0.15">
      <c r="A779" s="7"/>
      <c r="B779" s="31"/>
      <c r="C779" s="31"/>
      <c r="D779" s="31"/>
      <c r="E779" s="7"/>
      <c r="F779" s="7"/>
      <c r="H779" s="40"/>
      <c r="I779" s="40"/>
      <c r="K779" s="7"/>
      <c r="N779" s="7"/>
      <c r="O779" s="7"/>
    </row>
    <row r="780" spans="1:15" ht="13" x14ac:dyDescent="0.15">
      <c r="A780" s="7"/>
      <c r="B780" s="31"/>
      <c r="C780" s="31"/>
      <c r="D780" s="31"/>
      <c r="E780" s="7"/>
      <c r="F780" s="7"/>
      <c r="H780" s="40"/>
      <c r="I780" s="40"/>
      <c r="K780" s="7"/>
      <c r="N780" s="7"/>
      <c r="O780" s="7"/>
    </row>
    <row r="781" spans="1:15" ht="13" x14ac:dyDescent="0.15">
      <c r="A781" s="7"/>
      <c r="B781" s="31"/>
      <c r="C781" s="31"/>
      <c r="D781" s="31"/>
      <c r="E781" s="7"/>
      <c r="F781" s="7"/>
      <c r="H781" s="40"/>
      <c r="I781" s="40"/>
      <c r="K781" s="7"/>
      <c r="N781" s="7"/>
      <c r="O781" s="7"/>
    </row>
    <row r="782" spans="1:15" ht="13" x14ac:dyDescent="0.15">
      <c r="A782" s="7"/>
      <c r="B782" s="31"/>
      <c r="C782" s="31"/>
      <c r="D782" s="31"/>
      <c r="E782" s="7"/>
      <c r="F782" s="7"/>
      <c r="H782" s="40"/>
      <c r="I782" s="40"/>
      <c r="K782" s="7"/>
      <c r="N782" s="7"/>
      <c r="O782" s="7"/>
    </row>
    <row r="783" spans="1:15" ht="13" x14ac:dyDescent="0.15">
      <c r="A783" s="7"/>
      <c r="B783" s="31"/>
      <c r="C783" s="31"/>
      <c r="D783" s="31"/>
      <c r="E783" s="7"/>
      <c r="F783" s="7"/>
      <c r="H783" s="40"/>
      <c r="I783" s="40"/>
      <c r="K783" s="7"/>
      <c r="N783" s="7"/>
      <c r="O783" s="7"/>
    </row>
    <row r="784" spans="1:15" ht="13" x14ac:dyDescent="0.15">
      <c r="A784" s="7"/>
      <c r="B784" s="31"/>
      <c r="C784" s="31"/>
      <c r="D784" s="31"/>
      <c r="E784" s="7"/>
      <c r="F784" s="7"/>
      <c r="H784" s="40"/>
      <c r="I784" s="40"/>
      <c r="K784" s="7"/>
      <c r="N784" s="7"/>
      <c r="O784" s="7"/>
    </row>
    <row r="785" spans="1:15" ht="13" x14ac:dyDescent="0.15">
      <c r="A785" s="7"/>
      <c r="B785" s="31"/>
      <c r="C785" s="31"/>
      <c r="D785" s="31"/>
      <c r="E785" s="7"/>
      <c r="F785" s="7"/>
      <c r="H785" s="40"/>
      <c r="I785" s="40"/>
      <c r="K785" s="7"/>
      <c r="N785" s="7"/>
      <c r="O785" s="7"/>
    </row>
    <row r="786" spans="1:15" ht="13" x14ac:dyDescent="0.15">
      <c r="A786" s="7"/>
      <c r="B786" s="31"/>
      <c r="C786" s="31"/>
      <c r="D786" s="31"/>
      <c r="E786" s="7"/>
      <c r="F786" s="7"/>
      <c r="H786" s="40"/>
      <c r="I786" s="40"/>
      <c r="K786" s="7"/>
      <c r="N786" s="7"/>
      <c r="O786" s="7"/>
    </row>
    <row r="787" spans="1:15" ht="13" x14ac:dyDescent="0.15">
      <c r="A787" s="7"/>
      <c r="B787" s="31"/>
      <c r="C787" s="31"/>
      <c r="D787" s="31"/>
      <c r="E787" s="7"/>
      <c r="F787" s="7"/>
      <c r="H787" s="40"/>
      <c r="I787" s="40"/>
      <c r="K787" s="7"/>
      <c r="N787" s="7"/>
      <c r="O787" s="7"/>
    </row>
    <row r="788" spans="1:15" ht="13" x14ac:dyDescent="0.15">
      <c r="A788" s="7"/>
      <c r="B788" s="31"/>
      <c r="C788" s="31"/>
      <c r="D788" s="31"/>
      <c r="E788" s="7"/>
      <c r="F788" s="7"/>
      <c r="H788" s="40"/>
      <c r="I788" s="40"/>
      <c r="K788" s="7"/>
      <c r="N788" s="7"/>
      <c r="O788" s="7"/>
    </row>
    <row r="789" spans="1:15" ht="13" x14ac:dyDescent="0.15">
      <c r="A789" s="7"/>
      <c r="B789" s="31"/>
      <c r="C789" s="31"/>
      <c r="D789" s="31"/>
      <c r="E789" s="7"/>
      <c r="F789" s="7"/>
      <c r="H789" s="40"/>
      <c r="I789" s="40"/>
      <c r="K789" s="7"/>
      <c r="N789" s="7"/>
      <c r="O789" s="7"/>
    </row>
    <row r="790" spans="1:15" ht="13" x14ac:dyDescent="0.15">
      <c r="A790" s="7"/>
      <c r="B790" s="31"/>
      <c r="C790" s="31"/>
      <c r="D790" s="31"/>
      <c r="E790" s="7"/>
      <c r="F790" s="7"/>
      <c r="H790" s="40"/>
      <c r="I790" s="40"/>
      <c r="K790" s="7"/>
      <c r="N790" s="7"/>
      <c r="O790" s="7"/>
    </row>
    <row r="791" spans="1:15" ht="13" x14ac:dyDescent="0.15">
      <c r="A791" s="7"/>
      <c r="B791" s="31"/>
      <c r="C791" s="31"/>
      <c r="D791" s="31"/>
      <c r="E791" s="7"/>
      <c r="F791" s="7"/>
      <c r="H791" s="40"/>
      <c r="I791" s="40"/>
      <c r="K791" s="7"/>
      <c r="N791" s="7"/>
      <c r="O791" s="7"/>
    </row>
    <row r="792" spans="1:15" ht="13" x14ac:dyDescent="0.15">
      <c r="A792" s="7"/>
      <c r="B792" s="31"/>
      <c r="C792" s="31"/>
      <c r="D792" s="31"/>
      <c r="E792" s="7"/>
      <c r="F792" s="7"/>
      <c r="H792" s="40"/>
      <c r="I792" s="40"/>
      <c r="K792" s="7"/>
      <c r="N792" s="7"/>
      <c r="O792" s="7"/>
    </row>
    <row r="793" spans="1:15" ht="13" x14ac:dyDescent="0.15">
      <c r="A793" s="7"/>
      <c r="B793" s="31"/>
      <c r="C793" s="31"/>
      <c r="D793" s="31"/>
      <c r="E793" s="7"/>
      <c r="F793" s="7"/>
      <c r="H793" s="40"/>
      <c r="I793" s="40"/>
      <c r="K793" s="7"/>
      <c r="N793" s="7"/>
      <c r="O793" s="7"/>
    </row>
    <row r="794" spans="1:15" ht="13" x14ac:dyDescent="0.15">
      <c r="A794" s="7"/>
      <c r="B794" s="31"/>
      <c r="C794" s="31"/>
      <c r="D794" s="31"/>
      <c r="E794" s="7"/>
      <c r="F794" s="7"/>
      <c r="H794" s="40"/>
      <c r="I794" s="40"/>
      <c r="K794" s="7"/>
      <c r="N794" s="7"/>
      <c r="O794" s="7"/>
    </row>
    <row r="795" spans="1:15" ht="13" x14ac:dyDescent="0.15">
      <c r="A795" s="7"/>
      <c r="B795" s="31"/>
      <c r="C795" s="31"/>
      <c r="D795" s="31"/>
      <c r="E795" s="7"/>
      <c r="F795" s="7"/>
      <c r="H795" s="40"/>
      <c r="I795" s="40"/>
      <c r="K795" s="7"/>
      <c r="N795" s="7"/>
      <c r="O795" s="7"/>
    </row>
    <row r="796" spans="1:15" ht="13" x14ac:dyDescent="0.15">
      <c r="A796" s="7"/>
      <c r="B796" s="31"/>
      <c r="C796" s="31"/>
      <c r="D796" s="31"/>
      <c r="E796" s="7"/>
      <c r="F796" s="7"/>
      <c r="H796" s="40"/>
      <c r="I796" s="40"/>
      <c r="K796" s="7"/>
      <c r="N796" s="7"/>
      <c r="O796" s="7"/>
    </row>
    <row r="797" spans="1:15" ht="13" x14ac:dyDescent="0.15">
      <c r="A797" s="7"/>
      <c r="B797" s="31"/>
      <c r="C797" s="31"/>
      <c r="D797" s="31"/>
      <c r="E797" s="7"/>
      <c r="F797" s="7"/>
      <c r="H797" s="40"/>
      <c r="I797" s="40"/>
      <c r="K797" s="7"/>
      <c r="N797" s="7"/>
      <c r="O797" s="7"/>
    </row>
    <row r="798" spans="1:15" ht="13" x14ac:dyDescent="0.15">
      <c r="A798" s="7"/>
      <c r="B798" s="31"/>
      <c r="C798" s="31"/>
      <c r="D798" s="31"/>
      <c r="E798" s="7"/>
      <c r="F798" s="7"/>
      <c r="H798" s="40"/>
      <c r="I798" s="40"/>
      <c r="K798" s="7"/>
      <c r="N798" s="7"/>
      <c r="O798" s="7"/>
    </row>
    <row r="799" spans="1:15" ht="13" x14ac:dyDescent="0.15">
      <c r="A799" s="7"/>
      <c r="B799" s="31"/>
      <c r="C799" s="31"/>
      <c r="D799" s="31"/>
      <c r="E799" s="7"/>
      <c r="F799" s="7"/>
      <c r="H799" s="40"/>
      <c r="I799" s="40"/>
      <c r="K799" s="7"/>
      <c r="N799" s="7"/>
      <c r="O799" s="7"/>
    </row>
    <row r="800" spans="1:15" ht="13" x14ac:dyDescent="0.15">
      <c r="A800" s="7"/>
      <c r="B800" s="31"/>
      <c r="C800" s="31"/>
      <c r="D800" s="31"/>
      <c r="E800" s="7"/>
      <c r="F800" s="7"/>
      <c r="H800" s="40"/>
      <c r="I800" s="40"/>
      <c r="K800" s="7"/>
      <c r="N800" s="7"/>
      <c r="O800" s="7"/>
    </row>
    <row r="801" spans="1:15" ht="13" x14ac:dyDescent="0.15">
      <c r="A801" s="7"/>
      <c r="B801" s="31"/>
      <c r="C801" s="31"/>
      <c r="D801" s="31"/>
      <c r="E801" s="7"/>
      <c r="F801" s="7"/>
      <c r="H801" s="40"/>
      <c r="I801" s="40"/>
      <c r="K801" s="7"/>
      <c r="N801" s="7"/>
      <c r="O801" s="7"/>
    </row>
    <row r="802" spans="1:15" ht="13" x14ac:dyDescent="0.15">
      <c r="A802" s="7"/>
      <c r="B802" s="31"/>
      <c r="C802" s="31"/>
      <c r="D802" s="31"/>
      <c r="E802" s="7"/>
      <c r="F802" s="7"/>
      <c r="H802" s="40"/>
      <c r="I802" s="40"/>
      <c r="K802" s="7"/>
      <c r="N802" s="7"/>
      <c r="O802" s="7"/>
    </row>
    <row r="803" spans="1:15" ht="13" x14ac:dyDescent="0.15">
      <c r="A803" s="7"/>
      <c r="B803" s="31"/>
      <c r="C803" s="31"/>
      <c r="D803" s="31"/>
      <c r="E803" s="7"/>
      <c r="F803" s="7"/>
      <c r="H803" s="40"/>
      <c r="I803" s="40"/>
      <c r="K803" s="7"/>
      <c r="N803" s="7"/>
      <c r="O803" s="7"/>
    </row>
    <row r="804" spans="1:15" ht="13" x14ac:dyDescent="0.15">
      <c r="A804" s="7"/>
      <c r="B804" s="31"/>
      <c r="C804" s="31"/>
      <c r="D804" s="31"/>
      <c r="E804" s="7"/>
      <c r="F804" s="7"/>
      <c r="H804" s="40"/>
      <c r="I804" s="40"/>
      <c r="K804" s="7"/>
      <c r="N804" s="7"/>
      <c r="O804" s="7"/>
    </row>
    <row r="805" spans="1:15" ht="13" x14ac:dyDescent="0.15">
      <c r="A805" s="7"/>
      <c r="B805" s="31"/>
      <c r="C805" s="31"/>
      <c r="D805" s="31"/>
      <c r="E805" s="7"/>
      <c r="F805" s="7"/>
      <c r="H805" s="40"/>
      <c r="I805" s="40"/>
      <c r="K805" s="7"/>
      <c r="N805" s="7"/>
      <c r="O805" s="7"/>
    </row>
    <row r="806" spans="1:15" ht="13" x14ac:dyDescent="0.15">
      <c r="A806" s="7"/>
      <c r="B806" s="31"/>
      <c r="C806" s="31"/>
      <c r="D806" s="31"/>
      <c r="E806" s="7"/>
      <c r="F806" s="7"/>
      <c r="H806" s="40"/>
      <c r="I806" s="40"/>
      <c r="K806" s="7"/>
      <c r="N806" s="7"/>
      <c r="O806" s="7"/>
    </row>
    <row r="807" spans="1:15" ht="13" x14ac:dyDescent="0.15">
      <c r="A807" s="7"/>
      <c r="B807" s="31"/>
      <c r="C807" s="31"/>
      <c r="D807" s="31"/>
      <c r="E807" s="7"/>
      <c r="F807" s="7"/>
      <c r="H807" s="40"/>
      <c r="I807" s="40"/>
      <c r="K807" s="7"/>
      <c r="N807" s="7"/>
      <c r="O807" s="7"/>
    </row>
    <row r="808" spans="1:15" ht="13" x14ac:dyDescent="0.15">
      <c r="A808" s="7"/>
      <c r="B808" s="31"/>
      <c r="C808" s="31"/>
      <c r="D808" s="31"/>
      <c r="E808" s="7"/>
      <c r="F808" s="7"/>
      <c r="H808" s="40"/>
      <c r="I808" s="40"/>
      <c r="K808" s="7"/>
      <c r="N808" s="7"/>
      <c r="O808" s="7"/>
    </row>
    <row r="809" spans="1:15" ht="13" x14ac:dyDescent="0.15">
      <c r="A809" s="7"/>
      <c r="B809" s="31"/>
      <c r="C809" s="31"/>
      <c r="D809" s="31"/>
      <c r="E809" s="7"/>
      <c r="F809" s="7"/>
      <c r="H809" s="40"/>
      <c r="I809" s="40"/>
      <c r="K809" s="7"/>
      <c r="N809" s="7"/>
      <c r="O809" s="7"/>
    </row>
    <row r="810" spans="1:15" ht="13" x14ac:dyDescent="0.15">
      <c r="A810" s="7"/>
      <c r="B810" s="31"/>
      <c r="C810" s="31"/>
      <c r="D810" s="31"/>
      <c r="E810" s="7"/>
      <c r="F810" s="7"/>
      <c r="H810" s="40"/>
      <c r="I810" s="40"/>
      <c r="K810" s="7"/>
      <c r="N810" s="7"/>
      <c r="O810" s="7"/>
    </row>
    <row r="811" spans="1:15" ht="13" x14ac:dyDescent="0.15">
      <c r="A811" s="7"/>
      <c r="B811" s="31"/>
      <c r="C811" s="31"/>
      <c r="D811" s="31"/>
      <c r="E811" s="7"/>
      <c r="F811" s="7"/>
      <c r="H811" s="40"/>
      <c r="I811" s="40"/>
      <c r="K811" s="7"/>
      <c r="N811" s="7"/>
      <c r="O811" s="7"/>
    </row>
    <row r="812" spans="1:15" ht="13" x14ac:dyDescent="0.15">
      <c r="A812" s="7"/>
      <c r="B812" s="31"/>
      <c r="C812" s="31"/>
      <c r="D812" s="31"/>
      <c r="E812" s="7"/>
      <c r="F812" s="7"/>
      <c r="H812" s="40"/>
      <c r="I812" s="40"/>
      <c r="K812" s="7"/>
      <c r="N812" s="7"/>
      <c r="O812" s="7"/>
    </row>
    <row r="813" spans="1:15" ht="13" x14ac:dyDescent="0.15">
      <c r="A813" s="7"/>
      <c r="B813" s="31"/>
      <c r="C813" s="31"/>
      <c r="D813" s="31"/>
      <c r="E813" s="7"/>
      <c r="F813" s="7"/>
      <c r="H813" s="40"/>
      <c r="I813" s="40"/>
      <c r="K813" s="7"/>
      <c r="N813" s="7"/>
      <c r="O813" s="7"/>
    </row>
    <row r="814" spans="1:15" ht="13" x14ac:dyDescent="0.15">
      <c r="A814" s="7"/>
      <c r="B814" s="31"/>
      <c r="C814" s="31"/>
      <c r="D814" s="31"/>
      <c r="E814" s="7"/>
      <c r="F814" s="7"/>
      <c r="H814" s="40"/>
      <c r="I814" s="40"/>
      <c r="K814" s="7"/>
      <c r="N814" s="7"/>
      <c r="O814" s="7"/>
    </row>
    <row r="815" spans="1:15" ht="13" x14ac:dyDescent="0.15">
      <c r="A815" s="7"/>
      <c r="B815" s="31"/>
      <c r="C815" s="31"/>
      <c r="D815" s="31"/>
      <c r="E815" s="7"/>
      <c r="F815" s="7"/>
      <c r="H815" s="40"/>
      <c r="I815" s="40"/>
      <c r="K815" s="7"/>
      <c r="N815" s="7"/>
      <c r="O815" s="7"/>
    </row>
    <row r="816" spans="1:15" ht="13" x14ac:dyDescent="0.15">
      <c r="A816" s="7"/>
      <c r="B816" s="31"/>
      <c r="C816" s="31"/>
      <c r="D816" s="31"/>
      <c r="E816" s="7"/>
      <c r="F816" s="7"/>
      <c r="H816" s="40"/>
      <c r="I816" s="40"/>
      <c r="K816" s="7"/>
      <c r="N816" s="7"/>
      <c r="O816" s="7"/>
    </row>
    <row r="817" spans="1:15" ht="13" x14ac:dyDescent="0.15">
      <c r="A817" s="7"/>
      <c r="B817" s="31"/>
      <c r="C817" s="31"/>
      <c r="D817" s="31"/>
      <c r="E817" s="7"/>
      <c r="F817" s="7"/>
      <c r="H817" s="40"/>
      <c r="I817" s="40"/>
      <c r="K817" s="7"/>
      <c r="N817" s="7"/>
      <c r="O817" s="7"/>
    </row>
    <row r="818" spans="1:15" ht="13" x14ac:dyDescent="0.15">
      <c r="A818" s="7"/>
      <c r="B818" s="31"/>
      <c r="C818" s="31"/>
      <c r="D818" s="31"/>
      <c r="E818" s="7"/>
      <c r="F818" s="7"/>
      <c r="H818" s="40"/>
      <c r="I818" s="40"/>
      <c r="K818" s="7"/>
      <c r="N818" s="7"/>
      <c r="O818" s="7"/>
    </row>
    <row r="819" spans="1:15" ht="13" x14ac:dyDescent="0.15">
      <c r="A819" s="7"/>
      <c r="B819" s="31"/>
      <c r="C819" s="31"/>
      <c r="D819" s="31"/>
      <c r="E819" s="7"/>
      <c r="F819" s="7"/>
      <c r="H819" s="40"/>
      <c r="I819" s="40"/>
      <c r="K819" s="7"/>
      <c r="N819" s="7"/>
      <c r="O819" s="7"/>
    </row>
    <row r="820" spans="1:15" ht="13" x14ac:dyDescent="0.15">
      <c r="A820" s="7"/>
      <c r="B820" s="31"/>
      <c r="C820" s="31"/>
      <c r="D820" s="31"/>
      <c r="E820" s="7"/>
      <c r="F820" s="7"/>
      <c r="H820" s="40"/>
      <c r="I820" s="40"/>
      <c r="K820" s="7"/>
      <c r="N820" s="7"/>
      <c r="O820" s="7"/>
    </row>
    <row r="821" spans="1:15" ht="13" x14ac:dyDescent="0.15">
      <c r="A821" s="7"/>
      <c r="B821" s="31"/>
      <c r="C821" s="31"/>
      <c r="D821" s="31"/>
      <c r="E821" s="7"/>
      <c r="F821" s="7"/>
      <c r="H821" s="40"/>
      <c r="I821" s="40"/>
      <c r="K821" s="7"/>
      <c r="N821" s="7"/>
      <c r="O821" s="7"/>
    </row>
    <row r="822" spans="1:15" ht="13" x14ac:dyDescent="0.15">
      <c r="A822" s="7"/>
      <c r="B822" s="31"/>
      <c r="C822" s="31"/>
      <c r="D822" s="31"/>
      <c r="E822" s="7"/>
      <c r="F822" s="7"/>
      <c r="H822" s="40"/>
      <c r="I822" s="40"/>
      <c r="K822" s="7"/>
      <c r="N822" s="7"/>
      <c r="O822" s="7"/>
    </row>
    <row r="823" spans="1:15" ht="13" x14ac:dyDescent="0.15">
      <c r="A823" s="7"/>
      <c r="B823" s="31"/>
      <c r="C823" s="31"/>
      <c r="D823" s="31"/>
      <c r="E823" s="7"/>
      <c r="F823" s="7"/>
      <c r="H823" s="40"/>
      <c r="I823" s="40"/>
      <c r="K823" s="7"/>
      <c r="N823" s="7"/>
      <c r="O823" s="7"/>
    </row>
    <row r="824" spans="1:15" ht="13" x14ac:dyDescent="0.15">
      <c r="A824" s="7"/>
      <c r="B824" s="31"/>
      <c r="C824" s="31"/>
      <c r="D824" s="31"/>
      <c r="E824" s="7"/>
      <c r="F824" s="7"/>
      <c r="H824" s="40"/>
      <c r="I824" s="40"/>
      <c r="K824" s="7"/>
      <c r="N824" s="7"/>
      <c r="O824" s="7"/>
    </row>
    <row r="825" spans="1:15" ht="13" x14ac:dyDescent="0.15">
      <c r="A825" s="7"/>
      <c r="B825" s="31"/>
      <c r="C825" s="31"/>
      <c r="D825" s="31"/>
      <c r="E825" s="7"/>
      <c r="F825" s="7"/>
      <c r="H825" s="40"/>
      <c r="I825" s="40"/>
      <c r="K825" s="7"/>
      <c r="N825" s="7"/>
      <c r="O825" s="7"/>
    </row>
    <row r="826" spans="1:15" ht="13" x14ac:dyDescent="0.15">
      <c r="A826" s="7"/>
      <c r="B826" s="31"/>
      <c r="C826" s="31"/>
      <c r="D826" s="31"/>
      <c r="E826" s="7"/>
      <c r="F826" s="7"/>
      <c r="H826" s="40"/>
      <c r="I826" s="40"/>
      <c r="K826" s="7"/>
      <c r="N826" s="7"/>
      <c r="O826" s="7"/>
    </row>
    <row r="827" spans="1:15" ht="13" x14ac:dyDescent="0.15">
      <c r="A827" s="7"/>
      <c r="B827" s="31"/>
      <c r="C827" s="31"/>
      <c r="D827" s="31"/>
      <c r="E827" s="7"/>
      <c r="F827" s="7"/>
      <c r="H827" s="40"/>
      <c r="I827" s="40"/>
      <c r="K827" s="7"/>
      <c r="N827" s="7"/>
      <c r="O827" s="7"/>
    </row>
    <row r="828" spans="1:15" ht="13" x14ac:dyDescent="0.15">
      <c r="A828" s="7"/>
      <c r="B828" s="31"/>
      <c r="C828" s="31"/>
      <c r="D828" s="31"/>
      <c r="E828" s="7"/>
      <c r="F828" s="7"/>
      <c r="H828" s="40"/>
      <c r="I828" s="40"/>
      <c r="K828" s="7"/>
      <c r="N828" s="7"/>
      <c r="O828" s="7"/>
    </row>
    <row r="829" spans="1:15" ht="13" x14ac:dyDescent="0.15">
      <c r="A829" s="7"/>
      <c r="B829" s="31"/>
      <c r="C829" s="31"/>
      <c r="D829" s="31"/>
      <c r="E829" s="7"/>
      <c r="F829" s="7"/>
      <c r="H829" s="40"/>
      <c r="I829" s="40"/>
      <c r="K829" s="7"/>
      <c r="N829" s="7"/>
      <c r="O829" s="7"/>
    </row>
    <row r="830" spans="1:15" ht="13" x14ac:dyDescent="0.15">
      <c r="A830" s="7"/>
      <c r="B830" s="31"/>
      <c r="C830" s="31"/>
      <c r="D830" s="31"/>
      <c r="E830" s="7"/>
      <c r="F830" s="7"/>
      <c r="H830" s="40"/>
      <c r="I830" s="40"/>
      <c r="K830" s="7"/>
      <c r="N830" s="7"/>
      <c r="O830" s="7"/>
    </row>
    <row r="831" spans="1:15" ht="13" x14ac:dyDescent="0.15">
      <c r="A831" s="7"/>
      <c r="B831" s="31"/>
      <c r="C831" s="31"/>
      <c r="D831" s="31"/>
      <c r="E831" s="7"/>
      <c r="F831" s="7"/>
      <c r="H831" s="40"/>
      <c r="I831" s="40"/>
      <c r="K831" s="7"/>
      <c r="N831" s="7"/>
      <c r="O831" s="7"/>
    </row>
    <row r="832" spans="1:15" ht="13" x14ac:dyDescent="0.15">
      <c r="A832" s="7"/>
      <c r="B832" s="31"/>
      <c r="C832" s="31"/>
      <c r="D832" s="31"/>
      <c r="E832" s="7"/>
      <c r="F832" s="7"/>
      <c r="H832" s="40"/>
      <c r="I832" s="40"/>
      <c r="K832" s="7"/>
      <c r="N832" s="7"/>
      <c r="O832" s="7"/>
    </row>
    <row r="833" spans="1:15" ht="13" x14ac:dyDescent="0.15">
      <c r="A833" s="7"/>
      <c r="B833" s="31"/>
      <c r="C833" s="31"/>
      <c r="D833" s="31"/>
      <c r="E833" s="7"/>
      <c r="F833" s="7"/>
      <c r="H833" s="40"/>
      <c r="I833" s="40"/>
      <c r="K833" s="7"/>
      <c r="N833" s="7"/>
      <c r="O833" s="7"/>
    </row>
    <row r="834" spans="1:15" ht="13" x14ac:dyDescent="0.15">
      <c r="A834" s="7"/>
      <c r="B834" s="31"/>
      <c r="C834" s="31"/>
      <c r="D834" s="31"/>
      <c r="E834" s="7"/>
      <c r="F834" s="7"/>
      <c r="H834" s="40"/>
      <c r="I834" s="40"/>
      <c r="K834" s="7"/>
      <c r="N834" s="7"/>
      <c r="O834" s="7"/>
    </row>
    <row r="835" spans="1:15" ht="13" x14ac:dyDescent="0.15">
      <c r="A835" s="7"/>
      <c r="B835" s="31"/>
      <c r="C835" s="31"/>
      <c r="D835" s="31"/>
      <c r="E835" s="7"/>
      <c r="F835" s="7"/>
      <c r="H835" s="40"/>
      <c r="I835" s="40"/>
      <c r="K835" s="7"/>
      <c r="N835" s="7"/>
      <c r="O835" s="7"/>
    </row>
    <row r="836" spans="1:15" ht="13" x14ac:dyDescent="0.15">
      <c r="A836" s="7"/>
      <c r="B836" s="31"/>
      <c r="C836" s="31"/>
      <c r="D836" s="31"/>
      <c r="E836" s="7"/>
      <c r="F836" s="7"/>
      <c r="H836" s="40"/>
      <c r="I836" s="40"/>
      <c r="K836" s="7"/>
      <c r="N836" s="7"/>
      <c r="O836" s="7"/>
    </row>
    <row r="837" spans="1:15" ht="13" x14ac:dyDescent="0.15">
      <c r="A837" s="7"/>
      <c r="B837" s="31"/>
      <c r="C837" s="31"/>
      <c r="D837" s="31"/>
      <c r="E837" s="7"/>
      <c r="F837" s="7"/>
      <c r="H837" s="40"/>
      <c r="I837" s="40"/>
      <c r="K837" s="7"/>
      <c r="N837" s="7"/>
      <c r="O837" s="7"/>
    </row>
    <row r="838" spans="1:15" ht="13" x14ac:dyDescent="0.15">
      <c r="A838" s="7"/>
      <c r="B838" s="31"/>
      <c r="C838" s="31"/>
      <c r="D838" s="31"/>
      <c r="E838" s="7"/>
      <c r="F838" s="7"/>
      <c r="H838" s="40"/>
      <c r="I838" s="40"/>
      <c r="K838" s="7"/>
      <c r="N838" s="7"/>
      <c r="O838" s="7"/>
    </row>
    <row r="839" spans="1:15" ht="13" x14ac:dyDescent="0.15">
      <c r="A839" s="7"/>
      <c r="B839" s="31"/>
      <c r="C839" s="31"/>
      <c r="D839" s="31"/>
      <c r="E839" s="7"/>
      <c r="F839" s="7"/>
      <c r="H839" s="40"/>
      <c r="I839" s="40"/>
      <c r="K839" s="7"/>
      <c r="N839" s="7"/>
      <c r="O839" s="7"/>
    </row>
    <row r="840" spans="1:15" ht="13" x14ac:dyDescent="0.15">
      <c r="A840" s="7"/>
      <c r="B840" s="31"/>
      <c r="C840" s="31"/>
      <c r="D840" s="31"/>
      <c r="E840" s="7"/>
      <c r="F840" s="7"/>
      <c r="H840" s="40"/>
      <c r="I840" s="40"/>
      <c r="K840" s="7"/>
      <c r="N840" s="7"/>
      <c r="O840" s="7"/>
    </row>
    <row r="841" spans="1:15" ht="13" x14ac:dyDescent="0.15">
      <c r="A841" s="7"/>
      <c r="B841" s="31"/>
      <c r="C841" s="31"/>
      <c r="D841" s="31"/>
      <c r="E841" s="7"/>
      <c r="F841" s="7"/>
      <c r="H841" s="40"/>
      <c r="I841" s="40"/>
      <c r="K841" s="7"/>
      <c r="N841" s="7"/>
      <c r="O841" s="7"/>
    </row>
    <row r="842" spans="1:15" ht="13" x14ac:dyDescent="0.15">
      <c r="A842" s="7"/>
      <c r="B842" s="31"/>
      <c r="C842" s="31"/>
      <c r="D842" s="31"/>
      <c r="E842" s="7"/>
      <c r="F842" s="7"/>
      <c r="H842" s="40"/>
      <c r="I842" s="40"/>
      <c r="K842" s="7"/>
      <c r="N842" s="7"/>
      <c r="O842" s="7"/>
    </row>
    <row r="843" spans="1:15" ht="13" x14ac:dyDescent="0.15">
      <c r="A843" s="7"/>
      <c r="B843" s="31"/>
      <c r="C843" s="31"/>
      <c r="D843" s="31"/>
      <c r="E843" s="7"/>
      <c r="F843" s="7"/>
      <c r="H843" s="40"/>
      <c r="I843" s="40"/>
      <c r="K843" s="7"/>
      <c r="N843" s="7"/>
      <c r="O843" s="7"/>
    </row>
    <row r="844" spans="1:15" ht="13" x14ac:dyDescent="0.15">
      <c r="A844" s="7"/>
      <c r="B844" s="31"/>
      <c r="C844" s="31"/>
      <c r="D844" s="31"/>
      <c r="E844" s="7"/>
      <c r="F844" s="7"/>
      <c r="H844" s="40"/>
      <c r="I844" s="40"/>
      <c r="K844" s="7"/>
      <c r="N844" s="7"/>
      <c r="O844" s="7"/>
    </row>
    <row r="845" spans="1:15" ht="13" x14ac:dyDescent="0.15">
      <c r="A845" s="7"/>
      <c r="B845" s="31"/>
      <c r="C845" s="31"/>
      <c r="D845" s="31"/>
      <c r="E845" s="7"/>
      <c r="F845" s="7"/>
      <c r="H845" s="40"/>
      <c r="I845" s="40"/>
      <c r="K845" s="7"/>
      <c r="N845" s="7"/>
      <c r="O845" s="7"/>
    </row>
    <row r="846" spans="1:15" ht="13" x14ac:dyDescent="0.15">
      <c r="A846" s="7"/>
      <c r="B846" s="31"/>
      <c r="C846" s="31"/>
      <c r="D846" s="31"/>
      <c r="E846" s="7"/>
      <c r="F846" s="7"/>
      <c r="H846" s="40"/>
      <c r="I846" s="40"/>
      <c r="K846" s="7"/>
      <c r="N846" s="7"/>
      <c r="O846" s="7"/>
    </row>
    <row r="847" spans="1:15" ht="13" x14ac:dyDescent="0.15">
      <c r="A847" s="7"/>
      <c r="B847" s="31"/>
      <c r="C847" s="31"/>
      <c r="D847" s="31"/>
      <c r="E847" s="7"/>
      <c r="F847" s="7"/>
      <c r="H847" s="40"/>
      <c r="I847" s="40"/>
      <c r="K847" s="7"/>
      <c r="N847" s="7"/>
      <c r="O847" s="7"/>
    </row>
    <row r="848" spans="1:15" ht="13" x14ac:dyDescent="0.15">
      <c r="A848" s="7"/>
      <c r="B848" s="31"/>
      <c r="C848" s="31"/>
      <c r="D848" s="31"/>
      <c r="E848" s="7"/>
      <c r="F848" s="7"/>
      <c r="H848" s="40"/>
      <c r="I848" s="40"/>
      <c r="K848" s="7"/>
      <c r="N848" s="7"/>
      <c r="O848" s="7"/>
    </row>
    <row r="849" spans="1:15" ht="13" x14ac:dyDescent="0.15">
      <c r="A849" s="7"/>
      <c r="B849" s="31"/>
      <c r="C849" s="31"/>
      <c r="D849" s="31"/>
      <c r="E849" s="7"/>
      <c r="F849" s="7"/>
      <c r="H849" s="40"/>
      <c r="I849" s="40"/>
      <c r="K849" s="7"/>
      <c r="N849" s="7"/>
      <c r="O849" s="7"/>
    </row>
    <row r="850" spans="1:15" ht="13" x14ac:dyDescent="0.15">
      <c r="A850" s="7"/>
      <c r="B850" s="31"/>
      <c r="C850" s="31"/>
      <c r="D850" s="31"/>
      <c r="E850" s="7"/>
      <c r="F850" s="7"/>
      <c r="H850" s="40"/>
      <c r="I850" s="40"/>
      <c r="K850" s="7"/>
      <c r="N850" s="7"/>
      <c r="O850" s="7"/>
    </row>
    <row r="851" spans="1:15" ht="13" x14ac:dyDescent="0.15">
      <c r="A851" s="7"/>
      <c r="B851" s="31"/>
      <c r="C851" s="31"/>
      <c r="D851" s="31"/>
      <c r="E851" s="7"/>
      <c r="F851" s="7"/>
      <c r="H851" s="40"/>
      <c r="I851" s="40"/>
      <c r="K851" s="7"/>
      <c r="N851" s="7"/>
      <c r="O851" s="7"/>
    </row>
    <row r="852" spans="1:15" ht="13" x14ac:dyDescent="0.15">
      <c r="A852" s="7"/>
      <c r="B852" s="31"/>
      <c r="C852" s="31"/>
      <c r="D852" s="31"/>
      <c r="E852" s="7"/>
      <c r="F852" s="7"/>
      <c r="H852" s="40"/>
      <c r="I852" s="40"/>
      <c r="K852" s="7"/>
      <c r="N852" s="7"/>
      <c r="O852" s="7"/>
    </row>
    <row r="853" spans="1:15" ht="13" x14ac:dyDescent="0.15">
      <c r="A853" s="7"/>
      <c r="B853" s="31"/>
      <c r="C853" s="31"/>
      <c r="D853" s="31"/>
      <c r="E853" s="7"/>
      <c r="F853" s="7"/>
      <c r="H853" s="40"/>
      <c r="I853" s="40"/>
      <c r="K853" s="7"/>
      <c r="N853" s="7"/>
      <c r="O853" s="7"/>
    </row>
    <row r="854" spans="1:15" ht="13" x14ac:dyDescent="0.15">
      <c r="A854" s="7"/>
      <c r="B854" s="31"/>
      <c r="C854" s="31"/>
      <c r="D854" s="31"/>
      <c r="E854" s="7"/>
      <c r="F854" s="7"/>
      <c r="H854" s="40"/>
      <c r="I854" s="40"/>
      <c r="K854" s="7"/>
      <c r="N854" s="7"/>
      <c r="O854" s="7"/>
    </row>
    <row r="855" spans="1:15" ht="13" x14ac:dyDescent="0.15">
      <c r="A855" s="7"/>
      <c r="B855" s="31"/>
      <c r="C855" s="31"/>
      <c r="D855" s="31"/>
      <c r="E855" s="7"/>
      <c r="F855" s="7"/>
      <c r="H855" s="40"/>
      <c r="I855" s="40"/>
      <c r="K855" s="7"/>
      <c r="N855" s="7"/>
      <c r="O855" s="7"/>
    </row>
    <row r="856" spans="1:15" ht="13" x14ac:dyDescent="0.15">
      <c r="A856" s="7"/>
      <c r="B856" s="31"/>
      <c r="C856" s="31"/>
      <c r="D856" s="31"/>
      <c r="E856" s="7"/>
      <c r="F856" s="7"/>
      <c r="H856" s="40"/>
      <c r="I856" s="40"/>
      <c r="K856" s="7"/>
      <c r="N856" s="7"/>
      <c r="O856" s="7"/>
    </row>
    <row r="857" spans="1:15" ht="13" x14ac:dyDescent="0.15">
      <c r="A857" s="7"/>
      <c r="B857" s="31"/>
      <c r="C857" s="31"/>
      <c r="D857" s="31"/>
      <c r="E857" s="7"/>
      <c r="F857" s="7"/>
      <c r="H857" s="40"/>
      <c r="I857" s="40"/>
      <c r="K857" s="7"/>
      <c r="N857" s="7"/>
      <c r="O857" s="7"/>
    </row>
    <row r="858" spans="1:15" ht="13" x14ac:dyDescent="0.15">
      <c r="A858" s="7"/>
      <c r="B858" s="31"/>
      <c r="C858" s="31"/>
      <c r="D858" s="31"/>
      <c r="E858" s="7"/>
      <c r="F858" s="7"/>
      <c r="H858" s="40"/>
      <c r="I858" s="40"/>
      <c r="K858" s="7"/>
      <c r="N858" s="7"/>
      <c r="O858" s="7"/>
    </row>
    <row r="859" spans="1:15" ht="13" x14ac:dyDescent="0.15">
      <c r="A859" s="7"/>
      <c r="B859" s="31"/>
      <c r="C859" s="31"/>
      <c r="D859" s="31"/>
      <c r="E859" s="7"/>
      <c r="F859" s="7"/>
      <c r="H859" s="40"/>
      <c r="I859" s="40"/>
      <c r="K859" s="7"/>
      <c r="N859" s="7"/>
      <c r="O859" s="7"/>
    </row>
    <row r="860" spans="1:15" ht="13" x14ac:dyDescent="0.15">
      <c r="A860" s="7"/>
      <c r="B860" s="31"/>
      <c r="C860" s="31"/>
      <c r="D860" s="31"/>
      <c r="E860" s="7"/>
      <c r="F860" s="7"/>
      <c r="H860" s="40"/>
      <c r="I860" s="40"/>
      <c r="K860" s="7"/>
      <c r="N860" s="7"/>
      <c r="O860" s="7"/>
    </row>
    <row r="861" spans="1:15" ht="13" x14ac:dyDescent="0.15">
      <c r="A861" s="7"/>
      <c r="B861" s="31"/>
      <c r="C861" s="31"/>
      <c r="D861" s="31"/>
      <c r="E861" s="7"/>
      <c r="F861" s="7"/>
      <c r="H861" s="40"/>
      <c r="I861" s="40"/>
      <c r="K861" s="7"/>
      <c r="N861" s="7"/>
      <c r="O861" s="7"/>
    </row>
    <row r="862" spans="1:15" ht="13" x14ac:dyDescent="0.15">
      <c r="A862" s="7"/>
      <c r="B862" s="31"/>
      <c r="C862" s="31"/>
      <c r="D862" s="31"/>
      <c r="E862" s="7"/>
      <c r="F862" s="7"/>
      <c r="H862" s="40"/>
      <c r="I862" s="40"/>
      <c r="K862" s="7"/>
      <c r="N862" s="7"/>
      <c r="O862" s="7"/>
    </row>
    <row r="863" spans="1:15" ht="13" x14ac:dyDescent="0.15">
      <c r="A863" s="7"/>
      <c r="B863" s="31"/>
      <c r="C863" s="31"/>
      <c r="D863" s="31"/>
      <c r="E863" s="7"/>
      <c r="F863" s="7"/>
      <c r="H863" s="40"/>
      <c r="I863" s="40"/>
      <c r="K863" s="7"/>
      <c r="N863" s="7"/>
      <c r="O863" s="7"/>
    </row>
    <row r="864" spans="1:15" ht="13" x14ac:dyDescent="0.15">
      <c r="A864" s="7"/>
      <c r="B864" s="31"/>
      <c r="C864" s="31"/>
      <c r="D864" s="31"/>
      <c r="E864" s="7"/>
      <c r="F864" s="7"/>
      <c r="H864" s="40"/>
      <c r="I864" s="40"/>
      <c r="K864" s="7"/>
      <c r="N864" s="7"/>
      <c r="O864" s="7"/>
    </row>
    <row r="865" spans="1:15" ht="13" x14ac:dyDescent="0.15">
      <c r="A865" s="7"/>
      <c r="B865" s="31"/>
      <c r="C865" s="31"/>
      <c r="D865" s="31"/>
      <c r="E865" s="7"/>
      <c r="F865" s="7"/>
      <c r="H865" s="40"/>
      <c r="I865" s="40"/>
      <c r="K865" s="7"/>
      <c r="N865" s="7"/>
      <c r="O865" s="7"/>
    </row>
    <row r="866" spans="1:15" ht="13" x14ac:dyDescent="0.15">
      <c r="A866" s="7"/>
      <c r="B866" s="31"/>
      <c r="C866" s="31"/>
      <c r="D866" s="31"/>
      <c r="E866" s="7"/>
      <c r="F866" s="7"/>
      <c r="H866" s="40"/>
      <c r="I866" s="40"/>
      <c r="K866" s="7"/>
      <c r="N866" s="7"/>
      <c r="O866" s="7"/>
    </row>
    <row r="867" spans="1:15" ht="13" x14ac:dyDescent="0.15">
      <c r="A867" s="7"/>
      <c r="B867" s="31"/>
      <c r="C867" s="31"/>
      <c r="D867" s="31"/>
      <c r="E867" s="7"/>
      <c r="F867" s="7"/>
      <c r="H867" s="40"/>
      <c r="I867" s="40"/>
      <c r="K867" s="7"/>
      <c r="N867" s="7"/>
      <c r="O867" s="7"/>
    </row>
    <row r="868" spans="1:15" ht="13" x14ac:dyDescent="0.15">
      <c r="A868" s="7"/>
      <c r="B868" s="31"/>
      <c r="C868" s="31"/>
      <c r="D868" s="31"/>
      <c r="E868" s="7"/>
      <c r="F868" s="7"/>
      <c r="H868" s="40"/>
      <c r="I868" s="40"/>
      <c r="K868" s="7"/>
      <c r="N868" s="7"/>
      <c r="O868" s="7"/>
    </row>
    <row r="869" spans="1:15" ht="13" x14ac:dyDescent="0.15">
      <c r="A869" s="7"/>
      <c r="B869" s="31"/>
      <c r="C869" s="31"/>
      <c r="D869" s="31"/>
      <c r="E869" s="7"/>
      <c r="F869" s="7"/>
      <c r="H869" s="40"/>
      <c r="I869" s="40"/>
      <c r="K869" s="7"/>
      <c r="N869" s="7"/>
      <c r="O869" s="7"/>
    </row>
    <row r="870" spans="1:15" ht="13" x14ac:dyDescent="0.15">
      <c r="A870" s="7"/>
      <c r="B870" s="31"/>
      <c r="C870" s="31"/>
      <c r="D870" s="31"/>
      <c r="E870" s="7"/>
      <c r="F870" s="7"/>
      <c r="H870" s="40"/>
      <c r="I870" s="40"/>
      <c r="K870" s="7"/>
      <c r="N870" s="7"/>
      <c r="O870" s="7"/>
    </row>
    <row r="871" spans="1:15" ht="13" x14ac:dyDescent="0.15">
      <c r="A871" s="7"/>
      <c r="B871" s="31"/>
      <c r="C871" s="31"/>
      <c r="D871" s="31"/>
      <c r="E871" s="7"/>
      <c r="F871" s="7"/>
      <c r="H871" s="40"/>
      <c r="I871" s="40"/>
      <c r="K871" s="7"/>
      <c r="N871" s="7"/>
      <c r="O871" s="7"/>
    </row>
    <row r="872" spans="1:15" ht="13" x14ac:dyDescent="0.15">
      <c r="A872" s="7"/>
      <c r="B872" s="31"/>
      <c r="C872" s="31"/>
      <c r="D872" s="31"/>
      <c r="E872" s="7"/>
      <c r="F872" s="7"/>
      <c r="H872" s="40"/>
      <c r="I872" s="40"/>
      <c r="K872" s="7"/>
      <c r="N872" s="7"/>
      <c r="O872" s="7"/>
    </row>
    <row r="873" spans="1:15" ht="13" x14ac:dyDescent="0.15">
      <c r="A873" s="7"/>
      <c r="B873" s="31"/>
      <c r="C873" s="31"/>
      <c r="D873" s="31"/>
      <c r="E873" s="7"/>
      <c r="F873" s="7"/>
      <c r="H873" s="40"/>
      <c r="I873" s="40"/>
      <c r="K873" s="7"/>
      <c r="N873" s="7"/>
      <c r="O873" s="7"/>
    </row>
    <row r="874" spans="1:15" ht="13" x14ac:dyDescent="0.15">
      <c r="A874" s="7"/>
      <c r="B874" s="31"/>
      <c r="C874" s="31"/>
      <c r="D874" s="31"/>
      <c r="E874" s="7"/>
      <c r="F874" s="7"/>
      <c r="H874" s="40"/>
      <c r="I874" s="40"/>
      <c r="K874" s="7"/>
      <c r="N874" s="7"/>
      <c r="O874" s="7"/>
    </row>
    <row r="875" spans="1:15" ht="13" x14ac:dyDescent="0.15">
      <c r="A875" s="7"/>
      <c r="B875" s="31"/>
      <c r="C875" s="31"/>
      <c r="D875" s="31"/>
      <c r="E875" s="7"/>
      <c r="F875" s="7"/>
      <c r="H875" s="40"/>
      <c r="I875" s="40"/>
      <c r="K875" s="7"/>
      <c r="N875" s="7"/>
      <c r="O875" s="7"/>
    </row>
    <row r="876" spans="1:15" ht="13" x14ac:dyDescent="0.15">
      <c r="A876" s="7"/>
      <c r="B876" s="31"/>
      <c r="C876" s="31"/>
      <c r="D876" s="31"/>
      <c r="E876" s="7"/>
      <c r="F876" s="7"/>
      <c r="H876" s="40"/>
      <c r="I876" s="40"/>
      <c r="K876" s="7"/>
      <c r="N876" s="7"/>
      <c r="O876" s="7"/>
    </row>
    <row r="877" spans="1:15" ht="13" x14ac:dyDescent="0.15">
      <c r="A877" s="7"/>
      <c r="B877" s="31"/>
      <c r="C877" s="31"/>
      <c r="D877" s="31"/>
      <c r="E877" s="7"/>
      <c r="F877" s="7"/>
      <c r="H877" s="40"/>
      <c r="I877" s="40"/>
      <c r="K877" s="7"/>
      <c r="N877" s="7"/>
      <c r="O877" s="7"/>
    </row>
    <row r="878" spans="1:15" ht="13" x14ac:dyDescent="0.15">
      <c r="A878" s="7"/>
      <c r="B878" s="31"/>
      <c r="C878" s="31"/>
      <c r="D878" s="31"/>
      <c r="E878" s="7"/>
      <c r="F878" s="7"/>
      <c r="H878" s="40"/>
      <c r="I878" s="40"/>
      <c r="K878" s="7"/>
      <c r="N878" s="7"/>
      <c r="O878" s="7"/>
    </row>
    <row r="879" spans="1:15" ht="13" x14ac:dyDescent="0.15">
      <c r="A879" s="7"/>
      <c r="B879" s="31"/>
      <c r="C879" s="31"/>
      <c r="D879" s="31"/>
      <c r="E879" s="7"/>
      <c r="F879" s="7"/>
      <c r="H879" s="40"/>
      <c r="I879" s="40"/>
      <c r="K879" s="7"/>
      <c r="N879" s="7"/>
      <c r="O879" s="7"/>
    </row>
    <row r="880" spans="1:15" ht="13" x14ac:dyDescent="0.15">
      <c r="A880" s="7"/>
      <c r="B880" s="31"/>
      <c r="C880" s="31"/>
      <c r="D880" s="31"/>
      <c r="E880" s="7"/>
      <c r="F880" s="7"/>
      <c r="H880" s="40"/>
      <c r="I880" s="40"/>
      <c r="K880" s="7"/>
      <c r="N880" s="7"/>
      <c r="O880" s="7"/>
    </row>
    <row r="881" spans="1:15" ht="13" x14ac:dyDescent="0.15">
      <c r="A881" s="7"/>
      <c r="B881" s="31"/>
      <c r="C881" s="31"/>
      <c r="D881" s="31"/>
      <c r="E881" s="7"/>
      <c r="F881" s="7"/>
      <c r="H881" s="40"/>
      <c r="I881" s="40"/>
      <c r="K881" s="7"/>
      <c r="N881" s="7"/>
      <c r="O881" s="7"/>
    </row>
    <row r="882" spans="1:15" ht="13" x14ac:dyDescent="0.15">
      <c r="A882" s="7"/>
      <c r="B882" s="31"/>
      <c r="C882" s="31"/>
      <c r="D882" s="31"/>
      <c r="E882" s="7"/>
      <c r="F882" s="7"/>
      <c r="H882" s="40"/>
      <c r="I882" s="40"/>
      <c r="K882" s="7"/>
      <c r="N882" s="7"/>
      <c r="O882" s="7"/>
    </row>
    <row r="883" spans="1:15" ht="13" x14ac:dyDescent="0.15">
      <c r="A883" s="7"/>
      <c r="B883" s="31"/>
      <c r="C883" s="31"/>
      <c r="D883" s="31"/>
      <c r="E883" s="7"/>
      <c r="F883" s="7"/>
      <c r="H883" s="40"/>
      <c r="I883" s="40"/>
      <c r="K883" s="7"/>
      <c r="N883" s="7"/>
      <c r="O883" s="7"/>
    </row>
    <row r="884" spans="1:15" ht="13" x14ac:dyDescent="0.15">
      <c r="A884" s="7"/>
      <c r="B884" s="31"/>
      <c r="C884" s="31"/>
      <c r="D884" s="31"/>
      <c r="E884" s="7"/>
      <c r="F884" s="7"/>
      <c r="H884" s="40"/>
      <c r="I884" s="40"/>
      <c r="K884" s="7"/>
      <c r="N884" s="7"/>
      <c r="O884" s="7"/>
    </row>
    <row r="885" spans="1:15" ht="13" x14ac:dyDescent="0.15">
      <c r="A885" s="7"/>
      <c r="B885" s="31"/>
      <c r="C885" s="31"/>
      <c r="D885" s="31"/>
      <c r="E885" s="7"/>
      <c r="F885" s="7"/>
      <c r="H885" s="40"/>
      <c r="I885" s="40"/>
      <c r="K885" s="7"/>
      <c r="N885" s="7"/>
      <c r="O885" s="7"/>
    </row>
    <row r="886" spans="1:15" ht="13" x14ac:dyDescent="0.15">
      <c r="A886" s="7"/>
      <c r="B886" s="31"/>
      <c r="C886" s="31"/>
      <c r="D886" s="31"/>
      <c r="E886" s="7"/>
      <c r="F886" s="7"/>
      <c r="H886" s="40"/>
      <c r="I886" s="40"/>
      <c r="K886" s="7"/>
      <c r="N886" s="7"/>
      <c r="O886" s="7"/>
    </row>
    <row r="887" spans="1:15" ht="13" x14ac:dyDescent="0.15">
      <c r="A887" s="7"/>
      <c r="B887" s="31"/>
      <c r="C887" s="31"/>
      <c r="D887" s="31"/>
      <c r="E887" s="7"/>
      <c r="F887" s="7"/>
      <c r="H887" s="40"/>
      <c r="I887" s="40"/>
      <c r="K887" s="7"/>
      <c r="N887" s="7"/>
      <c r="O887" s="7"/>
    </row>
    <row r="888" spans="1:15" ht="13" x14ac:dyDescent="0.15">
      <c r="A888" s="7"/>
      <c r="B888" s="31"/>
      <c r="C888" s="31"/>
      <c r="D888" s="31"/>
      <c r="E888" s="7"/>
      <c r="F888" s="7"/>
      <c r="H888" s="40"/>
      <c r="I888" s="40"/>
      <c r="K888" s="7"/>
      <c r="N888" s="7"/>
      <c r="O888" s="7"/>
    </row>
    <row r="889" spans="1:15" ht="13" x14ac:dyDescent="0.15">
      <c r="A889" s="7"/>
      <c r="B889" s="31"/>
      <c r="C889" s="31"/>
      <c r="D889" s="31"/>
      <c r="E889" s="7"/>
      <c r="F889" s="7"/>
      <c r="H889" s="40"/>
      <c r="I889" s="40"/>
      <c r="K889" s="7"/>
      <c r="N889" s="7"/>
      <c r="O889" s="7"/>
    </row>
    <row r="890" spans="1:15" ht="13" x14ac:dyDescent="0.15">
      <c r="A890" s="7"/>
      <c r="B890" s="31"/>
      <c r="C890" s="31"/>
      <c r="D890" s="31"/>
      <c r="E890" s="7"/>
      <c r="F890" s="7"/>
      <c r="H890" s="40"/>
      <c r="I890" s="40"/>
      <c r="K890" s="7"/>
      <c r="N890" s="7"/>
      <c r="O890" s="7"/>
    </row>
    <row r="891" spans="1:15" ht="13" x14ac:dyDescent="0.15">
      <c r="A891" s="7"/>
      <c r="B891" s="31"/>
      <c r="C891" s="31"/>
      <c r="D891" s="31"/>
      <c r="E891" s="7"/>
      <c r="F891" s="7"/>
      <c r="H891" s="40"/>
      <c r="I891" s="40"/>
      <c r="K891" s="7"/>
      <c r="N891" s="7"/>
      <c r="O891" s="7"/>
    </row>
    <row r="892" spans="1:15" ht="13" x14ac:dyDescent="0.15">
      <c r="A892" s="7"/>
      <c r="B892" s="31"/>
      <c r="C892" s="31"/>
      <c r="D892" s="31"/>
      <c r="E892" s="7"/>
      <c r="F892" s="7"/>
      <c r="H892" s="40"/>
      <c r="I892" s="40"/>
      <c r="K892" s="7"/>
      <c r="N892" s="7"/>
      <c r="O892" s="7"/>
    </row>
    <row r="893" spans="1:15" ht="13" x14ac:dyDescent="0.15">
      <c r="A893" s="7"/>
      <c r="B893" s="31"/>
      <c r="C893" s="31"/>
      <c r="D893" s="31"/>
      <c r="E893" s="7"/>
      <c r="F893" s="7"/>
      <c r="H893" s="40"/>
      <c r="I893" s="40"/>
      <c r="K893" s="7"/>
      <c r="N893" s="7"/>
      <c r="O893" s="7"/>
    </row>
    <row r="894" spans="1:15" ht="13" x14ac:dyDescent="0.15">
      <c r="A894" s="7"/>
      <c r="B894" s="31"/>
      <c r="C894" s="31"/>
      <c r="D894" s="31"/>
      <c r="E894" s="7"/>
      <c r="F894" s="7"/>
      <c r="H894" s="40"/>
      <c r="I894" s="40"/>
      <c r="K894" s="7"/>
      <c r="N894" s="7"/>
      <c r="O894" s="7"/>
    </row>
    <row r="895" spans="1:15" ht="13" x14ac:dyDescent="0.15">
      <c r="A895" s="7"/>
      <c r="B895" s="31"/>
      <c r="C895" s="31"/>
      <c r="D895" s="31"/>
      <c r="E895" s="7"/>
      <c r="F895" s="7"/>
      <c r="H895" s="40"/>
      <c r="I895" s="40"/>
      <c r="K895" s="7"/>
      <c r="N895" s="7"/>
      <c r="O895" s="7"/>
    </row>
    <row r="896" spans="1:15" ht="13" x14ac:dyDescent="0.15">
      <c r="A896" s="7"/>
      <c r="B896" s="31"/>
      <c r="C896" s="31"/>
      <c r="D896" s="31"/>
      <c r="E896" s="7"/>
      <c r="F896" s="7"/>
      <c r="H896" s="40"/>
      <c r="I896" s="40"/>
      <c r="K896" s="7"/>
      <c r="N896" s="7"/>
      <c r="O896" s="7"/>
    </row>
    <row r="897" spans="1:15" ht="13" x14ac:dyDescent="0.15">
      <c r="A897" s="7"/>
      <c r="B897" s="31"/>
      <c r="C897" s="31"/>
      <c r="D897" s="31"/>
      <c r="E897" s="7"/>
      <c r="F897" s="7"/>
      <c r="H897" s="40"/>
      <c r="I897" s="40"/>
      <c r="K897" s="7"/>
      <c r="N897" s="7"/>
      <c r="O897" s="7"/>
    </row>
    <row r="898" spans="1:15" ht="13" x14ac:dyDescent="0.15">
      <c r="A898" s="7"/>
      <c r="B898" s="31"/>
      <c r="C898" s="31"/>
      <c r="D898" s="31"/>
      <c r="E898" s="7"/>
      <c r="F898" s="7"/>
      <c r="H898" s="40"/>
      <c r="I898" s="40"/>
      <c r="K898" s="7"/>
      <c r="N898" s="7"/>
      <c r="O898" s="7"/>
    </row>
    <row r="899" spans="1:15" ht="13" x14ac:dyDescent="0.15">
      <c r="A899" s="7"/>
      <c r="B899" s="31"/>
      <c r="C899" s="31"/>
      <c r="D899" s="31"/>
      <c r="E899" s="7"/>
      <c r="F899" s="7"/>
      <c r="H899" s="40"/>
      <c r="I899" s="40"/>
      <c r="K899" s="7"/>
      <c r="N899" s="7"/>
      <c r="O899" s="7"/>
    </row>
    <row r="900" spans="1:15" ht="13" x14ac:dyDescent="0.15">
      <c r="A900" s="7"/>
      <c r="B900" s="31"/>
      <c r="C900" s="31"/>
      <c r="D900" s="31"/>
      <c r="E900" s="7"/>
      <c r="F900" s="7"/>
      <c r="H900" s="40"/>
      <c r="I900" s="40"/>
      <c r="K900" s="7"/>
      <c r="N900" s="7"/>
      <c r="O900" s="7"/>
    </row>
    <row r="901" spans="1:15" ht="13" x14ac:dyDescent="0.15">
      <c r="A901" s="7"/>
      <c r="B901" s="31"/>
      <c r="C901" s="31"/>
      <c r="D901" s="31"/>
      <c r="E901" s="7"/>
      <c r="F901" s="7"/>
      <c r="H901" s="40"/>
      <c r="I901" s="40"/>
      <c r="K901" s="7"/>
      <c r="N901" s="7"/>
      <c r="O901" s="7"/>
    </row>
    <row r="902" spans="1:15" ht="13" x14ac:dyDescent="0.15">
      <c r="A902" s="7"/>
      <c r="B902" s="31"/>
      <c r="C902" s="31"/>
      <c r="D902" s="31"/>
      <c r="E902" s="7"/>
      <c r="F902" s="7"/>
      <c r="H902" s="40"/>
      <c r="I902" s="40"/>
      <c r="K902" s="7"/>
      <c r="N902" s="7"/>
      <c r="O902" s="7"/>
    </row>
    <row r="903" spans="1:15" ht="13" x14ac:dyDescent="0.15">
      <c r="A903" s="7"/>
      <c r="B903" s="31"/>
      <c r="C903" s="31"/>
      <c r="D903" s="31"/>
      <c r="E903" s="7"/>
      <c r="F903" s="7"/>
      <c r="H903" s="40"/>
      <c r="I903" s="40"/>
      <c r="K903" s="7"/>
      <c r="N903" s="7"/>
      <c r="O903" s="7"/>
    </row>
    <row r="904" spans="1:15" ht="13" x14ac:dyDescent="0.15">
      <c r="A904" s="7"/>
      <c r="B904" s="31"/>
      <c r="C904" s="31"/>
      <c r="D904" s="31"/>
      <c r="E904" s="7"/>
      <c r="F904" s="7"/>
      <c r="H904" s="40"/>
      <c r="I904" s="40"/>
      <c r="K904" s="7"/>
      <c r="N904" s="7"/>
      <c r="O904" s="7"/>
    </row>
    <row r="905" spans="1:15" ht="13" x14ac:dyDescent="0.15">
      <c r="A905" s="7"/>
      <c r="B905" s="31"/>
      <c r="C905" s="31"/>
      <c r="D905" s="31"/>
      <c r="E905" s="7"/>
      <c r="F905" s="7"/>
      <c r="H905" s="40"/>
      <c r="I905" s="40"/>
      <c r="K905" s="7"/>
      <c r="N905" s="7"/>
      <c r="O905" s="7"/>
    </row>
    <row r="906" spans="1:15" ht="13" x14ac:dyDescent="0.15">
      <c r="A906" s="7"/>
      <c r="B906" s="31"/>
      <c r="C906" s="31"/>
      <c r="D906" s="31"/>
      <c r="E906" s="7"/>
      <c r="F906" s="7"/>
      <c r="H906" s="40"/>
      <c r="I906" s="40"/>
      <c r="K906" s="7"/>
      <c r="N906" s="7"/>
      <c r="O906" s="7"/>
    </row>
    <row r="907" spans="1:15" ht="13" x14ac:dyDescent="0.15">
      <c r="A907" s="7"/>
      <c r="B907" s="31"/>
      <c r="C907" s="31"/>
      <c r="D907" s="31"/>
      <c r="E907" s="7"/>
      <c r="F907" s="7"/>
      <c r="H907" s="40"/>
      <c r="I907" s="40"/>
      <c r="K907" s="7"/>
      <c r="N907" s="7"/>
      <c r="O907" s="7"/>
    </row>
    <row r="908" spans="1:15" ht="13" x14ac:dyDescent="0.15">
      <c r="A908" s="7"/>
      <c r="B908" s="31"/>
      <c r="C908" s="31"/>
      <c r="D908" s="31"/>
      <c r="E908" s="7"/>
      <c r="F908" s="7"/>
      <c r="H908" s="40"/>
      <c r="I908" s="40"/>
      <c r="K908" s="7"/>
      <c r="N908" s="7"/>
      <c r="O908" s="7"/>
    </row>
    <row r="909" spans="1:15" ht="13" x14ac:dyDescent="0.15">
      <c r="A909" s="7"/>
      <c r="B909" s="31"/>
      <c r="C909" s="31"/>
      <c r="D909" s="31"/>
      <c r="E909" s="7"/>
      <c r="F909" s="7"/>
      <c r="H909" s="40"/>
      <c r="I909" s="40"/>
      <c r="K909" s="7"/>
      <c r="N909" s="7"/>
      <c r="O909" s="7"/>
    </row>
    <row r="910" spans="1:15" ht="13" x14ac:dyDescent="0.15">
      <c r="A910" s="7"/>
      <c r="B910" s="31"/>
      <c r="C910" s="31"/>
      <c r="D910" s="31"/>
      <c r="E910" s="7"/>
      <c r="F910" s="7"/>
      <c r="H910" s="40"/>
      <c r="I910" s="40"/>
      <c r="K910" s="7"/>
      <c r="N910" s="7"/>
      <c r="O910" s="7"/>
    </row>
    <row r="911" spans="1:15" ht="13" x14ac:dyDescent="0.15">
      <c r="A911" s="7"/>
      <c r="B911" s="31"/>
      <c r="C911" s="31"/>
      <c r="D911" s="31"/>
      <c r="E911" s="7"/>
      <c r="F911" s="7"/>
      <c r="H911" s="40"/>
      <c r="I911" s="40"/>
      <c r="K911" s="7"/>
      <c r="N911" s="7"/>
      <c r="O911" s="7"/>
    </row>
    <row r="912" spans="1:15" ht="13" x14ac:dyDescent="0.15">
      <c r="A912" s="7"/>
      <c r="B912" s="31"/>
      <c r="C912" s="31"/>
      <c r="D912" s="31"/>
      <c r="E912" s="7"/>
      <c r="F912" s="7"/>
      <c r="H912" s="40"/>
      <c r="I912" s="40"/>
      <c r="K912" s="7"/>
      <c r="N912" s="7"/>
      <c r="O912" s="7"/>
    </row>
    <row r="913" spans="1:15" ht="13" x14ac:dyDescent="0.15">
      <c r="A913" s="7"/>
      <c r="B913" s="31"/>
      <c r="C913" s="31"/>
      <c r="D913" s="31"/>
      <c r="E913" s="7"/>
      <c r="F913" s="7"/>
      <c r="H913" s="40"/>
      <c r="I913" s="40"/>
      <c r="K913" s="7"/>
      <c r="N913" s="7"/>
      <c r="O913" s="7"/>
    </row>
    <row r="914" spans="1:15" ht="13" x14ac:dyDescent="0.15">
      <c r="A914" s="7"/>
      <c r="B914" s="31"/>
      <c r="C914" s="31"/>
      <c r="D914" s="31"/>
      <c r="E914" s="7"/>
      <c r="F914" s="7"/>
      <c r="H914" s="40"/>
      <c r="I914" s="40"/>
      <c r="K914" s="7"/>
      <c r="N914" s="7"/>
      <c r="O914" s="7"/>
    </row>
    <row r="915" spans="1:15" ht="13" x14ac:dyDescent="0.15">
      <c r="A915" s="7"/>
      <c r="B915" s="31"/>
      <c r="C915" s="31"/>
      <c r="D915" s="31"/>
      <c r="E915" s="7"/>
      <c r="F915" s="7"/>
      <c r="H915" s="40"/>
      <c r="I915" s="40"/>
      <c r="K915" s="7"/>
      <c r="N915" s="7"/>
      <c r="O915" s="7"/>
    </row>
    <row r="916" spans="1:15" ht="13" x14ac:dyDescent="0.15">
      <c r="A916" s="7"/>
      <c r="B916" s="31"/>
      <c r="C916" s="31"/>
      <c r="D916" s="31"/>
      <c r="E916" s="7"/>
      <c r="F916" s="7"/>
      <c r="H916" s="40"/>
      <c r="I916" s="40"/>
      <c r="K916" s="7"/>
      <c r="N916" s="7"/>
      <c r="O916" s="7"/>
    </row>
    <row r="917" spans="1:15" ht="13" x14ac:dyDescent="0.15">
      <c r="A917" s="7"/>
      <c r="B917" s="31"/>
      <c r="C917" s="31"/>
      <c r="D917" s="31"/>
      <c r="E917" s="7"/>
      <c r="F917" s="7"/>
      <c r="H917" s="40"/>
      <c r="I917" s="40"/>
      <c r="K917" s="7"/>
      <c r="N917" s="7"/>
      <c r="O917" s="7"/>
    </row>
    <row r="918" spans="1:15" ht="13" x14ac:dyDescent="0.15">
      <c r="A918" s="7"/>
      <c r="B918" s="31"/>
      <c r="C918" s="31"/>
      <c r="D918" s="31"/>
      <c r="E918" s="7"/>
      <c r="F918" s="7"/>
      <c r="H918" s="40"/>
      <c r="I918" s="40"/>
      <c r="K918" s="7"/>
      <c r="N918" s="7"/>
      <c r="O918" s="7"/>
    </row>
    <row r="919" spans="1:15" ht="13" x14ac:dyDescent="0.15">
      <c r="A919" s="7"/>
      <c r="B919" s="31"/>
      <c r="C919" s="31"/>
      <c r="D919" s="31"/>
      <c r="E919" s="7"/>
      <c r="F919" s="7"/>
      <c r="H919" s="40"/>
      <c r="I919" s="40"/>
      <c r="K919" s="7"/>
      <c r="N919" s="7"/>
      <c r="O919" s="7"/>
    </row>
    <row r="920" spans="1:15" ht="13" x14ac:dyDescent="0.15">
      <c r="A920" s="7"/>
      <c r="B920" s="31"/>
      <c r="C920" s="31"/>
      <c r="D920" s="31"/>
      <c r="E920" s="7"/>
      <c r="F920" s="7"/>
      <c r="H920" s="40"/>
      <c r="I920" s="40"/>
      <c r="K920" s="7"/>
      <c r="N920" s="7"/>
      <c r="O920" s="7"/>
    </row>
    <row r="921" spans="1:15" ht="13" x14ac:dyDescent="0.15">
      <c r="A921" s="7"/>
      <c r="B921" s="31"/>
      <c r="C921" s="31"/>
      <c r="D921" s="31"/>
      <c r="E921" s="7"/>
      <c r="F921" s="7"/>
      <c r="H921" s="40"/>
      <c r="I921" s="40"/>
      <c r="K921" s="7"/>
      <c r="N921" s="7"/>
      <c r="O921" s="7"/>
    </row>
    <row r="922" spans="1:15" ht="13" x14ac:dyDescent="0.15">
      <c r="A922" s="7"/>
      <c r="B922" s="31"/>
      <c r="C922" s="31"/>
      <c r="D922" s="31"/>
      <c r="E922" s="7"/>
      <c r="F922" s="7"/>
      <c r="H922" s="40"/>
      <c r="I922" s="40"/>
      <c r="K922" s="7"/>
      <c r="N922" s="7"/>
      <c r="O922" s="7"/>
    </row>
    <row r="923" spans="1:15" ht="13" x14ac:dyDescent="0.15">
      <c r="A923" s="7"/>
      <c r="B923" s="31"/>
      <c r="C923" s="31"/>
      <c r="D923" s="31"/>
      <c r="E923" s="7"/>
      <c r="F923" s="7"/>
      <c r="H923" s="40"/>
      <c r="I923" s="40"/>
      <c r="K923" s="7"/>
      <c r="N923" s="7"/>
      <c r="O923" s="7"/>
    </row>
    <row r="924" spans="1:15" ht="13" x14ac:dyDescent="0.15">
      <c r="A924" s="7"/>
      <c r="B924" s="31"/>
      <c r="C924" s="31"/>
      <c r="D924" s="31"/>
      <c r="E924" s="7"/>
      <c r="F924" s="7"/>
      <c r="H924" s="40"/>
      <c r="I924" s="40"/>
      <c r="K924" s="7"/>
      <c r="N924" s="7"/>
      <c r="O924" s="7"/>
    </row>
    <row r="925" spans="1:15" ht="13" x14ac:dyDescent="0.15">
      <c r="A925" s="7"/>
      <c r="B925" s="31"/>
      <c r="C925" s="31"/>
      <c r="D925" s="31"/>
      <c r="E925" s="7"/>
      <c r="F925" s="7"/>
      <c r="H925" s="40"/>
      <c r="I925" s="40"/>
      <c r="K925" s="7"/>
      <c r="N925" s="7"/>
      <c r="O925" s="7"/>
    </row>
    <row r="926" spans="1:15" ht="13" x14ac:dyDescent="0.15">
      <c r="A926" s="7"/>
      <c r="B926" s="31"/>
      <c r="C926" s="31"/>
      <c r="D926" s="31"/>
      <c r="E926" s="7"/>
      <c r="F926" s="7"/>
      <c r="H926" s="40"/>
      <c r="I926" s="40"/>
      <c r="K926" s="7"/>
      <c r="N926" s="7"/>
      <c r="O926" s="7"/>
    </row>
    <row r="927" spans="1:15" ht="13" x14ac:dyDescent="0.15">
      <c r="A927" s="7"/>
      <c r="B927" s="31"/>
      <c r="C927" s="31"/>
      <c r="D927" s="31"/>
      <c r="E927" s="7"/>
      <c r="F927" s="7"/>
      <c r="H927" s="40"/>
      <c r="I927" s="40"/>
      <c r="K927" s="7"/>
      <c r="N927" s="7"/>
      <c r="O927" s="7"/>
    </row>
    <row r="928" spans="1:15" ht="13" x14ac:dyDescent="0.15">
      <c r="A928" s="7"/>
      <c r="B928" s="31"/>
      <c r="C928" s="31"/>
      <c r="D928" s="31"/>
      <c r="E928" s="7"/>
      <c r="F928" s="7"/>
      <c r="H928" s="40"/>
      <c r="I928" s="40"/>
      <c r="K928" s="7"/>
      <c r="N928" s="7"/>
      <c r="O928" s="7"/>
    </row>
    <row r="929" spans="1:15" ht="13" x14ac:dyDescent="0.15">
      <c r="A929" s="7"/>
      <c r="B929" s="31"/>
      <c r="C929" s="31"/>
      <c r="D929" s="31"/>
      <c r="E929" s="7"/>
      <c r="F929" s="7"/>
      <c r="H929" s="40"/>
      <c r="I929" s="40"/>
      <c r="K929" s="7"/>
      <c r="N929" s="7"/>
      <c r="O929" s="7"/>
    </row>
    <row r="930" spans="1:15" ht="13" x14ac:dyDescent="0.15">
      <c r="A930" s="7"/>
      <c r="B930" s="31"/>
      <c r="C930" s="31"/>
      <c r="D930" s="31"/>
      <c r="E930" s="7"/>
      <c r="F930" s="7"/>
      <c r="H930" s="40"/>
      <c r="I930" s="40"/>
      <c r="K930" s="7"/>
      <c r="N930" s="7"/>
      <c r="O930" s="7"/>
    </row>
    <row r="931" spans="1:15" ht="13" x14ac:dyDescent="0.15">
      <c r="A931" s="7"/>
      <c r="B931" s="31"/>
      <c r="C931" s="31"/>
      <c r="D931" s="31"/>
      <c r="E931" s="7"/>
      <c r="F931" s="7"/>
      <c r="H931" s="40"/>
      <c r="I931" s="40"/>
      <c r="K931" s="7"/>
      <c r="N931" s="7"/>
      <c r="O931" s="7"/>
    </row>
    <row r="932" spans="1:15" ht="13" x14ac:dyDescent="0.15">
      <c r="A932" s="7"/>
      <c r="B932" s="31"/>
      <c r="C932" s="31"/>
      <c r="D932" s="31"/>
      <c r="E932" s="7"/>
      <c r="F932" s="7"/>
      <c r="H932" s="40"/>
      <c r="I932" s="40"/>
      <c r="K932" s="7"/>
      <c r="N932" s="7"/>
      <c r="O932" s="7"/>
    </row>
    <row r="933" spans="1:15" ht="13" x14ac:dyDescent="0.15">
      <c r="A933" s="7"/>
      <c r="B933" s="31"/>
      <c r="C933" s="31"/>
      <c r="D933" s="31"/>
      <c r="E933" s="7"/>
      <c r="F933" s="7"/>
      <c r="H933" s="40"/>
      <c r="I933" s="40"/>
      <c r="K933" s="7"/>
      <c r="N933" s="7"/>
      <c r="O933" s="7"/>
    </row>
    <row r="934" spans="1:15" ht="13" x14ac:dyDescent="0.15">
      <c r="A934" s="7"/>
      <c r="B934" s="31"/>
      <c r="C934" s="31"/>
      <c r="D934" s="31"/>
      <c r="E934" s="7"/>
      <c r="F934" s="7"/>
      <c r="H934" s="40"/>
      <c r="I934" s="40"/>
      <c r="K934" s="7"/>
      <c r="N934" s="7"/>
      <c r="O934" s="7"/>
    </row>
    <row r="935" spans="1:15" ht="13" x14ac:dyDescent="0.15">
      <c r="A935" s="7"/>
      <c r="B935" s="31"/>
      <c r="C935" s="31"/>
      <c r="D935" s="31"/>
      <c r="E935" s="7"/>
      <c r="F935" s="7"/>
      <c r="H935" s="40"/>
      <c r="I935" s="40"/>
      <c r="K935" s="7"/>
      <c r="N935" s="7"/>
      <c r="O935" s="7"/>
    </row>
    <row r="936" spans="1:15" ht="13" x14ac:dyDescent="0.15">
      <c r="A936" s="7"/>
      <c r="B936" s="31"/>
      <c r="C936" s="31"/>
      <c r="D936" s="31"/>
      <c r="E936" s="7"/>
      <c r="F936" s="7"/>
      <c r="H936" s="40"/>
      <c r="I936" s="40"/>
      <c r="K936" s="7"/>
      <c r="N936" s="7"/>
      <c r="O936" s="7"/>
    </row>
    <row r="937" spans="1:15" ht="13" x14ac:dyDescent="0.15">
      <c r="A937" s="7"/>
      <c r="B937" s="31"/>
      <c r="C937" s="31"/>
      <c r="D937" s="31"/>
      <c r="E937" s="7"/>
      <c r="F937" s="7"/>
      <c r="H937" s="40"/>
      <c r="I937" s="40"/>
      <c r="K937" s="7"/>
      <c r="N937" s="7"/>
      <c r="O937" s="7"/>
    </row>
    <row r="938" spans="1:15" ht="13" x14ac:dyDescent="0.15">
      <c r="A938" s="7"/>
      <c r="B938" s="31"/>
      <c r="C938" s="31"/>
      <c r="D938" s="31"/>
      <c r="E938" s="7"/>
      <c r="F938" s="7"/>
      <c r="H938" s="40"/>
      <c r="I938" s="40"/>
      <c r="K938" s="7"/>
      <c r="N938" s="7"/>
      <c r="O938" s="7"/>
    </row>
    <row r="939" spans="1:15" ht="13" x14ac:dyDescent="0.15">
      <c r="A939" s="7"/>
      <c r="B939" s="31"/>
      <c r="C939" s="31"/>
      <c r="D939" s="31"/>
      <c r="E939" s="7"/>
      <c r="F939" s="7"/>
      <c r="H939" s="40"/>
      <c r="I939" s="40"/>
      <c r="K939" s="7"/>
      <c r="N939" s="7"/>
      <c r="O939" s="7"/>
    </row>
    <row r="940" spans="1:15" ht="13" x14ac:dyDescent="0.15">
      <c r="A940" s="7"/>
      <c r="B940" s="31"/>
      <c r="C940" s="31"/>
      <c r="D940" s="31"/>
      <c r="E940" s="7"/>
      <c r="F940" s="7"/>
      <c r="H940" s="40"/>
      <c r="I940" s="40"/>
      <c r="K940" s="7"/>
      <c r="N940" s="7"/>
      <c r="O940" s="7"/>
    </row>
    <row r="941" spans="1:15" ht="13" x14ac:dyDescent="0.15">
      <c r="A941" s="7"/>
      <c r="B941" s="31"/>
      <c r="C941" s="31"/>
      <c r="D941" s="31"/>
      <c r="E941" s="7"/>
      <c r="F941" s="7"/>
      <c r="H941" s="40"/>
      <c r="I941" s="40"/>
      <c r="K941" s="7"/>
      <c r="N941" s="7"/>
      <c r="O941" s="7"/>
    </row>
    <row r="942" spans="1:15" ht="13" x14ac:dyDescent="0.15">
      <c r="A942" s="7"/>
      <c r="B942" s="31"/>
      <c r="C942" s="31"/>
      <c r="D942" s="31"/>
      <c r="E942" s="7"/>
      <c r="F942" s="7"/>
      <c r="H942" s="40"/>
      <c r="I942" s="40"/>
      <c r="K942" s="7"/>
      <c r="N942" s="7"/>
      <c r="O942" s="7"/>
    </row>
    <row r="943" spans="1:15" ht="13" x14ac:dyDescent="0.15">
      <c r="A943" s="7"/>
      <c r="B943" s="31"/>
      <c r="C943" s="31"/>
      <c r="D943" s="31"/>
      <c r="E943" s="7"/>
      <c r="F943" s="7"/>
      <c r="H943" s="40"/>
      <c r="I943" s="40"/>
      <c r="K943" s="7"/>
      <c r="N943" s="7"/>
      <c r="O943" s="7"/>
    </row>
    <row r="944" spans="1:15" ht="13" x14ac:dyDescent="0.15">
      <c r="A944" s="7"/>
      <c r="B944" s="31"/>
      <c r="C944" s="31"/>
      <c r="D944" s="31"/>
      <c r="E944" s="7"/>
      <c r="F944" s="7"/>
      <c r="H944" s="40"/>
      <c r="I944" s="40"/>
      <c r="K944" s="7"/>
      <c r="N944" s="7"/>
      <c r="O944" s="7"/>
    </row>
    <row r="945" spans="1:15" ht="13" x14ac:dyDescent="0.15">
      <c r="A945" s="7"/>
      <c r="B945" s="31"/>
      <c r="C945" s="31"/>
      <c r="D945" s="31"/>
      <c r="E945" s="7"/>
      <c r="F945" s="7"/>
      <c r="H945" s="40"/>
      <c r="I945" s="40"/>
      <c r="K945" s="7"/>
      <c r="N945" s="7"/>
      <c r="O945" s="7"/>
    </row>
    <row r="946" spans="1:15" ht="13" x14ac:dyDescent="0.15">
      <c r="A946" s="7"/>
      <c r="B946" s="31"/>
      <c r="C946" s="31"/>
      <c r="D946" s="31"/>
      <c r="E946" s="7"/>
      <c r="F946" s="7"/>
      <c r="H946" s="40"/>
      <c r="I946" s="40"/>
      <c r="K946" s="7"/>
      <c r="N946" s="7"/>
      <c r="O946" s="7"/>
    </row>
    <row r="947" spans="1:15" ht="13" x14ac:dyDescent="0.15">
      <c r="A947" s="7"/>
      <c r="B947" s="31"/>
      <c r="C947" s="31"/>
      <c r="D947" s="31"/>
      <c r="E947" s="7"/>
      <c r="F947" s="7"/>
      <c r="H947" s="40"/>
      <c r="I947" s="40"/>
      <c r="K947" s="7"/>
      <c r="N947" s="7"/>
      <c r="O947" s="7"/>
    </row>
    <row r="948" spans="1:15" ht="13" x14ac:dyDescent="0.15">
      <c r="A948" s="7"/>
      <c r="B948" s="31"/>
      <c r="C948" s="31"/>
      <c r="D948" s="31"/>
      <c r="E948" s="7"/>
      <c r="F948" s="7"/>
      <c r="H948" s="40"/>
      <c r="I948" s="40"/>
      <c r="K948" s="7"/>
      <c r="N948" s="7"/>
      <c r="O948" s="7"/>
    </row>
    <row r="949" spans="1:15" ht="13" x14ac:dyDescent="0.15">
      <c r="A949" s="7"/>
      <c r="B949" s="31"/>
      <c r="C949" s="31"/>
      <c r="D949" s="31"/>
      <c r="E949" s="7"/>
      <c r="F949" s="7"/>
      <c r="H949" s="40"/>
      <c r="I949" s="40"/>
      <c r="K949" s="7"/>
      <c r="N949" s="7"/>
      <c r="O949" s="7"/>
    </row>
    <row r="950" spans="1:15" ht="13" x14ac:dyDescent="0.15">
      <c r="A950" s="7"/>
      <c r="B950" s="31"/>
      <c r="C950" s="31"/>
      <c r="D950" s="31"/>
      <c r="E950" s="7"/>
      <c r="F950" s="7"/>
      <c r="H950" s="40"/>
      <c r="I950" s="40"/>
      <c r="K950" s="7"/>
      <c r="N950" s="7"/>
      <c r="O950" s="7"/>
    </row>
    <row r="951" spans="1:15" ht="13" x14ac:dyDescent="0.15">
      <c r="A951" s="7"/>
      <c r="B951" s="31"/>
      <c r="C951" s="31"/>
      <c r="D951" s="31"/>
      <c r="E951" s="7"/>
      <c r="F951" s="7"/>
      <c r="H951" s="40"/>
      <c r="I951" s="40"/>
      <c r="K951" s="7"/>
      <c r="N951" s="7"/>
      <c r="O951" s="7"/>
    </row>
    <row r="952" spans="1:15" ht="13" x14ac:dyDescent="0.15">
      <c r="A952" s="7"/>
      <c r="B952" s="31"/>
      <c r="C952" s="31"/>
      <c r="D952" s="31"/>
      <c r="E952" s="7"/>
      <c r="F952" s="7"/>
      <c r="H952" s="40"/>
      <c r="I952" s="40"/>
      <c r="K952" s="7"/>
      <c r="N952" s="7"/>
      <c r="O952" s="7"/>
    </row>
    <row r="953" spans="1:15" ht="13" x14ac:dyDescent="0.15">
      <c r="A953" s="7"/>
      <c r="B953" s="31"/>
      <c r="C953" s="31"/>
      <c r="D953" s="31"/>
      <c r="E953" s="7"/>
      <c r="F953" s="7"/>
      <c r="H953" s="40"/>
      <c r="I953" s="40"/>
      <c r="K953" s="7"/>
      <c r="N953" s="7"/>
      <c r="O953" s="7"/>
    </row>
    <row r="954" spans="1:15" ht="13" x14ac:dyDescent="0.15">
      <c r="A954" s="7"/>
      <c r="B954" s="31"/>
      <c r="C954" s="31"/>
      <c r="D954" s="31"/>
      <c r="E954" s="7"/>
      <c r="F954" s="7"/>
      <c r="H954" s="40"/>
      <c r="I954" s="40"/>
      <c r="K954" s="7"/>
      <c r="N954" s="7"/>
      <c r="O954" s="7"/>
    </row>
    <row r="955" spans="1:15" ht="13" x14ac:dyDescent="0.15">
      <c r="A955" s="7"/>
      <c r="B955" s="31"/>
      <c r="C955" s="31"/>
      <c r="D955" s="31"/>
      <c r="E955" s="7"/>
      <c r="F955" s="7"/>
      <c r="H955" s="40"/>
      <c r="I955" s="40"/>
      <c r="K955" s="7"/>
      <c r="N955" s="7"/>
      <c r="O955" s="7"/>
    </row>
    <row r="956" spans="1:15" ht="13" x14ac:dyDescent="0.15">
      <c r="A956" s="7"/>
      <c r="B956" s="31"/>
      <c r="C956" s="31"/>
      <c r="D956" s="31"/>
      <c r="E956" s="7"/>
      <c r="F956" s="7"/>
      <c r="H956" s="40"/>
      <c r="I956" s="40"/>
      <c r="K956" s="7"/>
      <c r="N956" s="7"/>
      <c r="O956" s="7"/>
    </row>
    <row r="957" spans="1:15" ht="13" x14ac:dyDescent="0.15">
      <c r="A957" s="7"/>
      <c r="B957" s="31"/>
      <c r="C957" s="31"/>
      <c r="D957" s="31"/>
      <c r="E957" s="7"/>
      <c r="F957" s="7"/>
      <c r="H957" s="40"/>
      <c r="I957" s="40"/>
      <c r="K957" s="7"/>
      <c r="N957" s="7"/>
      <c r="O957" s="7"/>
    </row>
    <row r="958" spans="1:15" ht="13" x14ac:dyDescent="0.15">
      <c r="A958" s="7"/>
      <c r="B958" s="31"/>
      <c r="C958" s="31"/>
      <c r="D958" s="31"/>
      <c r="E958" s="7"/>
      <c r="F958" s="7"/>
      <c r="H958" s="40"/>
      <c r="I958" s="40"/>
      <c r="K958" s="7"/>
      <c r="N958" s="7"/>
      <c r="O958" s="7"/>
    </row>
    <row r="959" spans="1:15" ht="13" x14ac:dyDescent="0.15">
      <c r="A959" s="7"/>
      <c r="B959" s="31"/>
      <c r="C959" s="31"/>
      <c r="D959" s="31"/>
      <c r="E959" s="7"/>
      <c r="F959" s="7"/>
      <c r="H959" s="40"/>
      <c r="I959" s="40"/>
      <c r="K959" s="7"/>
      <c r="N959" s="7"/>
      <c r="O959" s="7"/>
    </row>
    <row r="960" spans="1:15" ht="13" x14ac:dyDescent="0.15">
      <c r="A960" s="7"/>
      <c r="B960" s="31"/>
      <c r="C960" s="31"/>
      <c r="D960" s="31"/>
      <c r="E960" s="7"/>
      <c r="F960" s="7"/>
      <c r="H960" s="40"/>
      <c r="I960" s="40"/>
      <c r="K960" s="7"/>
      <c r="N960" s="7"/>
      <c r="O960" s="7"/>
    </row>
    <row r="961" spans="1:15" ht="13" x14ac:dyDescent="0.15">
      <c r="A961" s="7"/>
      <c r="B961" s="31"/>
      <c r="C961" s="31"/>
      <c r="D961" s="31"/>
      <c r="E961" s="7"/>
      <c r="F961" s="7"/>
      <c r="H961" s="40"/>
      <c r="I961" s="40"/>
      <c r="K961" s="7"/>
      <c r="N961" s="7"/>
      <c r="O961" s="7"/>
    </row>
    <row r="962" spans="1:15" ht="13" x14ac:dyDescent="0.15">
      <c r="A962" s="7"/>
      <c r="B962" s="31"/>
      <c r="C962" s="31"/>
      <c r="D962" s="31"/>
      <c r="E962" s="7"/>
      <c r="F962" s="7"/>
      <c r="H962" s="40"/>
      <c r="I962" s="40"/>
      <c r="K962" s="7"/>
      <c r="N962" s="7"/>
      <c r="O962" s="7"/>
    </row>
    <row r="963" spans="1:15" ht="13" x14ac:dyDescent="0.15">
      <c r="A963" s="7"/>
      <c r="B963" s="31"/>
      <c r="C963" s="31"/>
      <c r="D963" s="31"/>
      <c r="E963" s="7"/>
      <c r="F963" s="7"/>
      <c r="H963" s="40"/>
      <c r="I963" s="40"/>
      <c r="K963" s="7"/>
      <c r="N963" s="7"/>
      <c r="O963" s="7"/>
    </row>
    <row r="964" spans="1:15" ht="13" x14ac:dyDescent="0.15">
      <c r="A964" s="7"/>
      <c r="B964" s="31"/>
      <c r="C964" s="31"/>
      <c r="D964" s="31"/>
      <c r="E964" s="7"/>
      <c r="F964" s="7"/>
      <c r="H964" s="40"/>
      <c r="I964" s="40"/>
      <c r="K964" s="7"/>
      <c r="N964" s="7"/>
      <c r="O964" s="7"/>
    </row>
    <row r="965" spans="1:15" ht="13" x14ac:dyDescent="0.15">
      <c r="A965" s="7"/>
      <c r="B965" s="31"/>
      <c r="C965" s="31"/>
      <c r="D965" s="31"/>
      <c r="E965" s="7"/>
      <c r="F965" s="7"/>
      <c r="H965" s="40"/>
      <c r="I965" s="40"/>
      <c r="K965" s="7"/>
      <c r="N965" s="7"/>
      <c r="O965" s="7"/>
    </row>
    <row r="966" spans="1:15" ht="13" x14ac:dyDescent="0.15">
      <c r="A966" s="7"/>
      <c r="B966" s="31"/>
      <c r="C966" s="31"/>
      <c r="D966" s="31"/>
      <c r="E966" s="7"/>
      <c r="F966" s="7"/>
      <c r="H966" s="40"/>
      <c r="I966" s="40"/>
      <c r="K966" s="7"/>
      <c r="N966" s="7"/>
      <c r="O966" s="7"/>
    </row>
    <row r="967" spans="1:15" ht="13" x14ac:dyDescent="0.15">
      <c r="A967" s="7"/>
      <c r="B967" s="31"/>
      <c r="C967" s="31"/>
      <c r="D967" s="31"/>
      <c r="E967" s="7"/>
      <c r="F967" s="7"/>
      <c r="H967" s="40"/>
      <c r="I967" s="40"/>
      <c r="K967" s="7"/>
      <c r="N967" s="7"/>
      <c r="O967" s="7"/>
    </row>
    <row r="968" spans="1:15" ht="13" x14ac:dyDescent="0.15">
      <c r="A968" s="7"/>
      <c r="B968" s="31"/>
      <c r="C968" s="31"/>
      <c r="D968" s="31"/>
      <c r="E968" s="7"/>
      <c r="F968" s="7"/>
      <c r="H968" s="40"/>
      <c r="I968" s="40"/>
      <c r="K968" s="7"/>
      <c r="N968" s="7"/>
      <c r="O968" s="7"/>
    </row>
    <row r="969" spans="1:15" ht="13" x14ac:dyDescent="0.15">
      <c r="A969" s="7"/>
      <c r="B969" s="31"/>
      <c r="C969" s="31"/>
      <c r="D969" s="31"/>
      <c r="E969" s="7"/>
      <c r="F969" s="7"/>
      <c r="H969" s="40"/>
      <c r="I969" s="40"/>
      <c r="K969" s="7"/>
      <c r="N969" s="7"/>
      <c r="O969" s="7"/>
    </row>
    <row r="970" spans="1:15" ht="13" x14ac:dyDescent="0.15">
      <c r="A970" s="7"/>
      <c r="B970" s="31"/>
      <c r="C970" s="31"/>
      <c r="D970" s="31"/>
      <c r="E970" s="7"/>
      <c r="F970" s="7"/>
      <c r="H970" s="40"/>
      <c r="I970" s="40"/>
      <c r="K970" s="7"/>
      <c r="N970" s="7"/>
      <c r="O970" s="7"/>
    </row>
    <row r="971" spans="1:15" ht="13" x14ac:dyDescent="0.15">
      <c r="A971" s="7"/>
      <c r="B971" s="31"/>
      <c r="C971" s="31"/>
      <c r="D971" s="31"/>
      <c r="E971" s="7"/>
      <c r="F971" s="7"/>
      <c r="H971" s="40"/>
      <c r="I971" s="40"/>
      <c r="K971" s="7"/>
      <c r="N971" s="7"/>
      <c r="O971" s="7"/>
    </row>
    <row r="972" spans="1:15" ht="13" x14ac:dyDescent="0.15">
      <c r="A972" s="7"/>
      <c r="B972" s="31"/>
      <c r="C972" s="31"/>
      <c r="D972" s="31"/>
      <c r="E972" s="7"/>
      <c r="F972" s="7"/>
      <c r="H972" s="40"/>
      <c r="I972" s="40"/>
      <c r="K972" s="7"/>
      <c r="N972" s="7"/>
      <c r="O972" s="7"/>
    </row>
    <row r="973" spans="1:15" ht="13" x14ac:dyDescent="0.15">
      <c r="A973" s="7"/>
      <c r="B973" s="31"/>
      <c r="C973" s="31"/>
      <c r="D973" s="31"/>
      <c r="E973" s="7"/>
      <c r="F973" s="7"/>
      <c r="H973" s="40"/>
      <c r="I973" s="40"/>
      <c r="K973" s="7"/>
      <c r="N973" s="7"/>
      <c r="O973" s="7"/>
    </row>
    <row r="974" spans="1:15" ht="13" x14ac:dyDescent="0.15">
      <c r="A974" s="7"/>
      <c r="B974" s="31"/>
      <c r="C974" s="31"/>
      <c r="D974" s="31"/>
      <c r="E974" s="7"/>
      <c r="F974" s="7"/>
      <c r="H974" s="40"/>
      <c r="I974" s="40"/>
      <c r="K974" s="7"/>
      <c r="N974" s="7"/>
      <c r="O974" s="7"/>
    </row>
    <row r="975" spans="1:15" ht="13" x14ac:dyDescent="0.15">
      <c r="A975" s="7"/>
      <c r="B975" s="31"/>
      <c r="C975" s="31"/>
      <c r="D975" s="31"/>
      <c r="E975" s="7"/>
      <c r="F975" s="7"/>
      <c r="H975" s="40"/>
      <c r="I975" s="40"/>
      <c r="K975" s="7"/>
      <c r="N975" s="7"/>
      <c r="O975" s="7"/>
    </row>
    <row r="976" spans="1:15" ht="13" x14ac:dyDescent="0.15">
      <c r="A976" s="7"/>
      <c r="B976" s="31"/>
      <c r="C976" s="31"/>
      <c r="D976" s="31"/>
      <c r="E976" s="7"/>
      <c r="F976" s="7"/>
      <c r="H976" s="40"/>
      <c r="I976" s="40"/>
      <c r="K976" s="7"/>
      <c r="N976" s="7"/>
      <c r="O976" s="7"/>
    </row>
    <row r="977" spans="1:15" ht="13" x14ac:dyDescent="0.15">
      <c r="A977" s="7"/>
      <c r="B977" s="31"/>
      <c r="C977" s="31"/>
      <c r="D977" s="31"/>
      <c r="E977" s="7"/>
      <c r="F977" s="7"/>
      <c r="H977" s="40"/>
      <c r="I977" s="40"/>
      <c r="K977" s="7"/>
      <c r="N977" s="7"/>
      <c r="O977" s="7"/>
    </row>
    <row r="978" spans="1:15" ht="13" x14ac:dyDescent="0.15">
      <c r="A978" s="7"/>
      <c r="B978" s="31"/>
      <c r="C978" s="31"/>
      <c r="D978" s="31"/>
      <c r="E978" s="7"/>
      <c r="F978" s="7"/>
      <c r="H978" s="40"/>
      <c r="I978" s="40"/>
      <c r="K978" s="7"/>
      <c r="N978" s="7"/>
      <c r="O978" s="7"/>
    </row>
    <row r="979" spans="1:15" ht="13" x14ac:dyDescent="0.15">
      <c r="A979" s="7"/>
      <c r="B979" s="31"/>
      <c r="C979" s="31"/>
      <c r="D979" s="31"/>
      <c r="E979" s="7"/>
      <c r="F979" s="7"/>
      <c r="H979" s="40"/>
      <c r="I979" s="40"/>
      <c r="K979" s="7"/>
      <c r="N979" s="7"/>
      <c r="O979" s="7"/>
    </row>
    <row r="980" spans="1:15" ht="13" x14ac:dyDescent="0.15">
      <c r="A980" s="7"/>
      <c r="B980" s="31"/>
      <c r="C980" s="31"/>
      <c r="D980" s="31"/>
      <c r="E980" s="7"/>
      <c r="F980" s="7"/>
      <c r="H980" s="40"/>
      <c r="I980" s="40"/>
      <c r="K980" s="7"/>
      <c r="N980" s="7"/>
      <c r="O980" s="7"/>
    </row>
    <row r="981" spans="1:15" ht="13" x14ac:dyDescent="0.15">
      <c r="A981" s="7"/>
      <c r="B981" s="31"/>
      <c r="C981" s="31"/>
      <c r="D981" s="31"/>
      <c r="E981" s="7"/>
      <c r="F981" s="7"/>
      <c r="H981" s="40"/>
      <c r="I981" s="40"/>
      <c r="K981" s="7"/>
      <c r="N981" s="7"/>
      <c r="O981" s="7"/>
    </row>
    <row r="982" spans="1:15" ht="13" x14ac:dyDescent="0.15">
      <c r="A982" s="7"/>
      <c r="B982" s="31"/>
      <c r="C982" s="31"/>
      <c r="D982" s="31"/>
      <c r="E982" s="7"/>
      <c r="F982" s="7"/>
      <c r="H982" s="40"/>
      <c r="I982" s="40"/>
      <c r="K982" s="7"/>
      <c r="N982" s="7"/>
      <c r="O982" s="7"/>
    </row>
    <row r="983" spans="1:15" ht="13" x14ac:dyDescent="0.15">
      <c r="A983" s="7"/>
      <c r="B983" s="31"/>
      <c r="C983" s="31"/>
      <c r="D983" s="31"/>
      <c r="E983" s="7"/>
      <c r="F983" s="7"/>
      <c r="H983" s="40"/>
      <c r="I983" s="40"/>
      <c r="K983" s="7"/>
      <c r="N983" s="7"/>
      <c r="O983" s="7"/>
    </row>
    <row r="984" spans="1:15" ht="13" x14ac:dyDescent="0.15">
      <c r="A984" s="7"/>
      <c r="B984" s="31"/>
      <c r="C984" s="31"/>
      <c r="D984" s="31"/>
      <c r="E984" s="7"/>
      <c r="F984" s="7"/>
      <c r="H984" s="40"/>
      <c r="I984" s="40"/>
      <c r="K984" s="7"/>
      <c r="N984" s="7"/>
      <c r="O984" s="7"/>
    </row>
    <row r="985" spans="1:15" ht="13" x14ac:dyDescent="0.15">
      <c r="A985" s="7"/>
      <c r="B985" s="31"/>
      <c r="C985" s="31"/>
      <c r="D985" s="31"/>
      <c r="E985" s="7"/>
      <c r="F985" s="7"/>
      <c r="H985" s="40"/>
      <c r="I985" s="40"/>
      <c r="K985" s="7"/>
      <c r="N985" s="7"/>
      <c r="O985" s="7"/>
    </row>
    <row r="986" spans="1:15" ht="13" x14ac:dyDescent="0.15">
      <c r="A986" s="7"/>
      <c r="B986" s="31"/>
      <c r="C986" s="31"/>
      <c r="D986" s="31"/>
      <c r="E986" s="7"/>
      <c r="F986" s="7"/>
      <c r="H986" s="40"/>
      <c r="I986" s="40"/>
      <c r="K986" s="7"/>
      <c r="N986" s="7"/>
      <c r="O986" s="7"/>
    </row>
    <row r="987" spans="1:15" ht="13" x14ac:dyDescent="0.15">
      <c r="A987" s="7"/>
      <c r="B987" s="31"/>
      <c r="C987" s="31"/>
      <c r="D987" s="31"/>
      <c r="E987" s="7"/>
      <c r="F987" s="7"/>
      <c r="H987" s="40"/>
      <c r="I987" s="40"/>
      <c r="K987" s="7"/>
      <c r="N987" s="7"/>
      <c r="O987" s="7"/>
    </row>
    <row r="988" spans="1:15" ht="13" x14ac:dyDescent="0.15">
      <c r="A988" s="7"/>
      <c r="B988" s="31"/>
      <c r="C988" s="31"/>
      <c r="D988" s="31"/>
      <c r="E988" s="7"/>
      <c r="F988" s="7"/>
      <c r="H988" s="40"/>
      <c r="I988" s="40"/>
      <c r="K988" s="7"/>
      <c r="N988" s="7"/>
      <c r="O988" s="7"/>
    </row>
    <row r="989" spans="1:15" ht="13" x14ac:dyDescent="0.15">
      <c r="A989" s="7"/>
      <c r="B989" s="31"/>
      <c r="C989" s="31"/>
      <c r="D989" s="31"/>
      <c r="E989" s="7"/>
      <c r="F989" s="7"/>
      <c r="H989" s="40"/>
      <c r="I989" s="40"/>
      <c r="K989" s="7"/>
      <c r="N989" s="7"/>
      <c r="O989" s="7"/>
    </row>
    <row r="990" spans="1:15" ht="13" x14ac:dyDescent="0.15">
      <c r="A990" s="7"/>
      <c r="B990" s="31"/>
      <c r="C990" s="31"/>
      <c r="D990" s="31"/>
      <c r="E990" s="7"/>
      <c r="F990" s="7"/>
      <c r="H990" s="40"/>
      <c r="I990" s="40"/>
      <c r="K990" s="7"/>
      <c r="N990" s="7"/>
      <c r="O990" s="7"/>
    </row>
    <row r="991" spans="1:15" ht="13" x14ac:dyDescent="0.15">
      <c r="A991" s="7"/>
      <c r="B991" s="31"/>
      <c r="C991" s="31"/>
      <c r="D991" s="31"/>
      <c r="E991" s="7"/>
      <c r="F991" s="7"/>
      <c r="H991" s="40"/>
      <c r="I991" s="40"/>
      <c r="K991" s="7"/>
      <c r="N991" s="7"/>
      <c r="O991" s="7"/>
    </row>
    <row r="992" spans="1:15" ht="13" x14ac:dyDescent="0.15">
      <c r="A992" s="7"/>
      <c r="B992" s="31"/>
      <c r="C992" s="31"/>
      <c r="D992" s="31"/>
      <c r="E992" s="7"/>
      <c r="F992" s="7"/>
      <c r="H992" s="40"/>
      <c r="I992" s="40"/>
      <c r="K992" s="7"/>
      <c r="N992" s="7"/>
      <c r="O992" s="7"/>
    </row>
    <row r="993" spans="1:15" ht="13" x14ac:dyDescent="0.15">
      <c r="A993" s="7"/>
      <c r="B993" s="31"/>
      <c r="C993" s="31"/>
      <c r="D993" s="31"/>
      <c r="E993" s="7"/>
      <c r="F993" s="7"/>
      <c r="H993" s="40"/>
      <c r="I993" s="40"/>
      <c r="K993" s="7"/>
      <c r="N993" s="7"/>
      <c r="O993" s="7"/>
    </row>
    <row r="994" spans="1:15" ht="13" x14ac:dyDescent="0.15">
      <c r="A994" s="7"/>
      <c r="B994" s="31"/>
      <c r="C994" s="31"/>
      <c r="D994" s="31"/>
      <c r="E994" s="7"/>
      <c r="F994" s="7"/>
      <c r="H994" s="40"/>
      <c r="I994" s="40"/>
      <c r="K994" s="7"/>
      <c r="N994" s="7"/>
      <c r="O994" s="7"/>
    </row>
    <row r="995" spans="1:15" ht="13" x14ac:dyDescent="0.15">
      <c r="A995" s="7"/>
      <c r="B995" s="31"/>
      <c r="C995" s="31"/>
      <c r="D995" s="31"/>
      <c r="E995" s="7"/>
      <c r="F995" s="7"/>
      <c r="H995" s="40"/>
      <c r="I995" s="40"/>
      <c r="K995" s="7"/>
      <c r="N995" s="7"/>
      <c r="O995" s="7"/>
    </row>
    <row r="996" spans="1:15" ht="13" x14ac:dyDescent="0.15">
      <c r="A996" s="7"/>
      <c r="B996" s="31"/>
      <c r="C996" s="31"/>
      <c r="D996" s="31"/>
      <c r="E996" s="7"/>
      <c r="F996" s="7"/>
      <c r="H996" s="40"/>
      <c r="I996" s="40"/>
      <c r="K996" s="7"/>
      <c r="N996" s="7"/>
      <c r="O996" s="7"/>
    </row>
    <row r="997" spans="1:15" ht="13" x14ac:dyDescent="0.15">
      <c r="A997" s="7"/>
      <c r="B997" s="31"/>
      <c r="C997" s="31"/>
      <c r="D997" s="31"/>
      <c r="E997" s="7"/>
      <c r="F997" s="7"/>
      <c r="H997" s="40"/>
      <c r="I997" s="40"/>
      <c r="K997" s="7"/>
      <c r="N997" s="7"/>
      <c r="O997" s="7"/>
    </row>
    <row r="998" spans="1:15" ht="13" x14ac:dyDescent="0.15">
      <c r="A998" s="7"/>
      <c r="B998" s="31"/>
      <c r="C998" s="31"/>
      <c r="D998" s="31"/>
      <c r="E998" s="7"/>
      <c r="F998" s="7"/>
      <c r="H998" s="40"/>
      <c r="I998" s="40"/>
      <c r="K998" s="7"/>
      <c r="N998" s="7"/>
      <c r="O998" s="7"/>
    </row>
    <row r="999" spans="1:15" ht="13" x14ac:dyDescent="0.15">
      <c r="A999" s="7"/>
      <c r="B999" s="31"/>
      <c r="C999" s="31"/>
      <c r="D999" s="31"/>
      <c r="E999" s="7"/>
      <c r="F999" s="7"/>
      <c r="H999" s="40"/>
      <c r="I999" s="40"/>
      <c r="K999" s="7"/>
      <c r="N999" s="7"/>
      <c r="O999" s="7"/>
    </row>
    <row r="1000" spans="1:15" ht="13" x14ac:dyDescent="0.15">
      <c r="A1000" s="7"/>
      <c r="B1000" s="31"/>
      <c r="C1000" s="31"/>
      <c r="D1000" s="31"/>
      <c r="E1000" s="7"/>
      <c r="F1000" s="7"/>
      <c r="H1000" s="40"/>
      <c r="I1000" s="40"/>
      <c r="K1000" s="7"/>
      <c r="N1000" s="7"/>
      <c r="O1000" s="7"/>
    </row>
    <row r="1001" spans="1:15" ht="13" x14ac:dyDescent="0.15">
      <c r="A1001" s="7"/>
      <c r="B1001" s="31"/>
      <c r="C1001" s="31"/>
      <c r="D1001" s="31"/>
      <c r="E1001" s="7"/>
      <c r="F1001" s="7"/>
      <c r="H1001" s="40"/>
      <c r="I1001" s="40"/>
      <c r="K1001" s="7"/>
      <c r="N1001" s="7"/>
      <c r="O1001" s="7"/>
    </row>
  </sheetData>
  <hyperlinks>
    <hyperlink ref="F1" r:id="rId1" xr:uid="{00000000-0004-0000-0200-000000000000}"/>
    <hyperlink ref="G1" r:id="rId2" xr:uid="{00000000-0004-0000-0200-000001000000}"/>
    <hyperlink ref="H1" r:id="rId3" xr:uid="{00000000-0004-0000-0200-000002000000}"/>
    <hyperlink ref="I1" r:id="rId4" xr:uid="{00000000-0004-0000-0200-000003000000}"/>
    <hyperlink ref="K1" r:id="rId5" xr:uid="{00000000-0004-0000-0200-000004000000}"/>
    <hyperlink ref="L1" r:id="rId6" xr:uid="{00000000-0004-0000-0200-000005000000}"/>
    <hyperlink ref="P1" r:id="rId7" xr:uid="{00000000-0004-0000-0200-00000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198"/>
  <sheetViews>
    <sheetView tabSelected="1" topLeftCell="A171" workbookViewId="0">
      <selection activeCell="A41" sqref="A41"/>
    </sheetView>
  </sheetViews>
  <sheetFormatPr baseColWidth="10" defaultColWidth="12.6640625" defaultRowHeight="15.75" customHeight="1" x14ac:dyDescent="0.15"/>
  <cols>
    <col min="10" max="10" width="8.33203125" customWidth="1"/>
    <col min="11" max="11" width="11.1640625" customWidth="1"/>
  </cols>
  <sheetData>
    <row r="1" spans="1:12" ht="56" customHeight="1" x14ac:dyDescent="0.15">
      <c r="A1" s="7" t="s">
        <v>287</v>
      </c>
      <c r="B1" s="11" t="s">
        <v>270</v>
      </c>
      <c r="C1" s="11" t="s">
        <v>5</v>
      </c>
      <c r="D1" s="11" t="s">
        <v>276</v>
      </c>
      <c r="E1" s="6" t="s">
        <v>272</v>
      </c>
      <c r="F1" s="37" t="s">
        <v>255</v>
      </c>
      <c r="G1" s="5" t="s">
        <v>256</v>
      </c>
      <c r="J1" s="4" t="s">
        <v>257</v>
      </c>
      <c r="K1" s="5" t="s">
        <v>258</v>
      </c>
      <c r="L1" s="5" t="s">
        <v>259</v>
      </c>
    </row>
    <row r="2" spans="1:12" ht="59" customHeight="1" x14ac:dyDescent="0.15">
      <c r="A2" s="7"/>
      <c r="E2" s="6"/>
      <c r="F2" s="40" t="s">
        <v>260</v>
      </c>
      <c r="G2" s="7" t="s">
        <v>261</v>
      </c>
      <c r="I2" s="6" t="s">
        <v>262</v>
      </c>
      <c r="J2" s="6" t="s">
        <v>263</v>
      </c>
      <c r="K2" s="6" t="s">
        <v>264</v>
      </c>
      <c r="L2" s="7" t="s">
        <v>265</v>
      </c>
    </row>
    <row r="3" spans="1:12" ht="15.75" customHeight="1" x14ac:dyDescent="0.15">
      <c r="A3" s="7" t="s">
        <v>13</v>
      </c>
      <c r="B3" s="31">
        <f t="shared" ref="B3:B196" si="0">IF(COUNTA(I3:L3) = 0, "", IFERROR(AVERAGEIF(I3:L3, "&lt;&gt;"), ""))</f>
        <v>0.03</v>
      </c>
      <c r="C3" s="31">
        <f ca="1">IFERROR(__xludf.DUMMYFUNCTION("IFERROR(STDEV.S(FILTER(H3:K3, H3:K3&lt;&gt;"""")))"),0.0141421356237309)</f>
        <v>1.41421356237309E-2</v>
      </c>
      <c r="D3" s="49">
        <v>0.4714045208</v>
      </c>
      <c r="F3" s="40"/>
      <c r="G3" s="27">
        <v>20000</v>
      </c>
      <c r="I3" s="6">
        <f t="shared" ref="I3:I196" si="1">IF(ISBLANK(G3), "", G3 * 0.000001)</f>
        <v>0.02</v>
      </c>
      <c r="J3" s="6"/>
      <c r="L3" s="6">
        <v>0.04</v>
      </c>
    </row>
    <row r="4" spans="1:12" ht="15.75" customHeight="1" x14ac:dyDescent="0.15">
      <c r="A4" s="7" t="s">
        <v>14</v>
      </c>
      <c r="B4" s="31">
        <f t="shared" si="0"/>
        <v>1.1199999999999999</v>
      </c>
      <c r="C4" s="31">
        <f ca="1">IFERROR(__xludf.DUMMYFUNCTION("IFERROR(STDEV.S(FILTER(H4:K4, H4:K4&lt;&gt;"""")))"),0.268700576850887)</f>
        <v>0.268700576850887</v>
      </c>
      <c r="D4" s="49">
        <v>0.2399112293</v>
      </c>
      <c r="F4" s="40"/>
      <c r="G4" s="27">
        <v>1310000</v>
      </c>
      <c r="I4" s="6">
        <f t="shared" si="1"/>
        <v>1.3099999999999998</v>
      </c>
      <c r="J4" s="6"/>
      <c r="L4" s="6">
        <v>0.93</v>
      </c>
    </row>
    <row r="5" spans="1:12" ht="15.75" customHeight="1" x14ac:dyDescent="0.15">
      <c r="A5" s="7" t="s">
        <v>15</v>
      </c>
      <c r="B5" s="31">
        <f t="shared" si="0"/>
        <v>6.9533333333333331</v>
      </c>
      <c r="C5" s="31">
        <f ca="1">IFERROR(__xludf.DUMMYFUNCTION("IFERROR(STDEV.S(FILTER(H5:K5, H5:K5&lt;&gt;"""")))"),4.98984301690276)</f>
        <v>4.9898430169027597</v>
      </c>
      <c r="D5" s="49">
        <v>0.71761884229999995</v>
      </c>
      <c r="F5" s="40"/>
      <c r="G5" s="27">
        <v>9560000</v>
      </c>
      <c r="I5" s="6">
        <f t="shared" si="1"/>
        <v>9.5599999999999987</v>
      </c>
      <c r="J5" s="6">
        <v>1.2</v>
      </c>
      <c r="L5" s="6">
        <v>10.1</v>
      </c>
    </row>
    <row r="6" spans="1:12" ht="15.75" customHeight="1" x14ac:dyDescent="0.15">
      <c r="A6" s="7" t="s">
        <v>17</v>
      </c>
      <c r="B6" s="31">
        <f t="shared" si="0"/>
        <v>0</v>
      </c>
      <c r="C6" s="31" t="str">
        <f ca="1">IFERROR(__xludf.DUMMYFUNCTION("IFERROR(STDEV.S(FILTER(H6:K6, H6:K6&lt;&gt;"""")))"),"")</f>
        <v/>
      </c>
      <c r="D6" s="49" t="s">
        <v>277</v>
      </c>
      <c r="F6" s="40"/>
      <c r="G6" s="6">
        <v>0</v>
      </c>
      <c r="I6" s="6">
        <f t="shared" si="1"/>
        <v>0</v>
      </c>
      <c r="J6" s="6"/>
      <c r="K6" s="6"/>
    </row>
    <row r="7" spans="1:12" ht="15.75" customHeight="1" x14ac:dyDescent="0.15">
      <c r="A7" s="7" t="s">
        <v>18</v>
      </c>
      <c r="B7" s="31">
        <f t="shared" si="0"/>
        <v>1.08</v>
      </c>
      <c r="C7" s="31">
        <f ca="1">IFERROR(__xludf.DUMMYFUNCTION("IFERROR(STDEV.S(FILTER(H7:K7, H7:K7&lt;&gt;"""")))"),0.169705627484771)</f>
        <v>0.169705627484771</v>
      </c>
      <c r="D7" s="49">
        <v>0.15713484029999999</v>
      </c>
      <c r="F7" s="40"/>
      <c r="G7" s="27">
        <v>1200000</v>
      </c>
      <c r="I7" s="6">
        <f t="shared" si="1"/>
        <v>1.2</v>
      </c>
      <c r="J7" s="6"/>
      <c r="K7" s="6"/>
      <c r="L7" s="6">
        <v>0.96</v>
      </c>
    </row>
    <row r="8" spans="1:12" ht="15.75" customHeight="1" x14ac:dyDescent="0.15">
      <c r="A8" s="7" t="s">
        <v>20</v>
      </c>
      <c r="B8" s="31">
        <f t="shared" si="0"/>
        <v>0</v>
      </c>
      <c r="C8" s="31" t="str">
        <f ca="1">IFERROR(__xludf.DUMMYFUNCTION("IFERROR(STDEV.S(FILTER(H8:K8, H8:K8&lt;&gt;"""")))"),"")</f>
        <v/>
      </c>
      <c r="D8" s="49" t="s">
        <v>277</v>
      </c>
      <c r="F8" s="40"/>
      <c r="G8" s="6">
        <v>0</v>
      </c>
      <c r="I8" s="6">
        <f t="shared" si="1"/>
        <v>0</v>
      </c>
      <c r="J8" s="6"/>
      <c r="K8" s="6"/>
    </row>
    <row r="9" spans="1:12" ht="15.75" customHeight="1" x14ac:dyDescent="0.15">
      <c r="A9" s="7" t="s">
        <v>21</v>
      </c>
      <c r="B9" s="31">
        <f t="shared" si="0"/>
        <v>4.4499999999999993</v>
      </c>
      <c r="C9" s="31">
        <f ca="1">IFERROR(__xludf.DUMMYFUNCTION("IFERROR(STDEV.S(FILTER(H9:K9, H9:K9&lt;&gt;"""")))"),0.438406204335659)</f>
        <v>0.43840620433565902</v>
      </c>
      <c r="D9" s="49">
        <v>9.8518248170000003E-2</v>
      </c>
      <c r="F9" s="40"/>
      <c r="G9" s="27">
        <v>4760000</v>
      </c>
      <c r="I9" s="6">
        <f t="shared" si="1"/>
        <v>4.76</v>
      </c>
      <c r="J9" s="6"/>
      <c r="K9" s="6"/>
      <c r="L9" s="6">
        <v>4.1399999999999997</v>
      </c>
    </row>
    <row r="10" spans="1:12" ht="15.75" customHeight="1" x14ac:dyDescent="0.15">
      <c r="A10" s="7" t="s">
        <v>22</v>
      </c>
      <c r="B10" s="31">
        <f t="shared" si="0"/>
        <v>0.41500000000000004</v>
      </c>
      <c r="C10" s="31">
        <f ca="1">IFERROR(__xludf.DUMMYFUNCTION("IFERROR(STDEV.S(FILTER(H10:K10, H10:K10&lt;&gt;"""")))"),0.106066017177982)</f>
        <v>0.106066017177982</v>
      </c>
      <c r="D10" s="49">
        <v>0.25558076429999999</v>
      </c>
      <c r="F10" s="40"/>
      <c r="G10" s="27">
        <v>490000</v>
      </c>
      <c r="I10" s="6">
        <f t="shared" si="1"/>
        <v>0.49</v>
      </c>
      <c r="J10" s="6"/>
      <c r="K10" s="6"/>
      <c r="L10" s="6">
        <v>0.34</v>
      </c>
    </row>
    <row r="11" spans="1:12" ht="15.75" customHeight="1" x14ac:dyDescent="0.15">
      <c r="A11" s="7" t="s">
        <v>24</v>
      </c>
      <c r="B11" s="31">
        <f t="shared" si="0"/>
        <v>3.4850000000000003</v>
      </c>
      <c r="C11" s="31">
        <f ca="1">IFERROR(__xludf.DUMMYFUNCTION("IFERROR(STDEV.S(FILTER(H11:K11, H11:K11&lt;&gt;"""")))"),0.597411081249753)</f>
        <v>0.59741108124975295</v>
      </c>
      <c r="D11" s="49">
        <v>0.17142355270000001</v>
      </c>
      <c r="F11" s="40"/>
      <c r="G11" s="27">
        <v>2900000</v>
      </c>
      <c r="I11" s="6">
        <f t="shared" si="1"/>
        <v>2.9</v>
      </c>
      <c r="J11" s="6">
        <v>4</v>
      </c>
      <c r="K11" s="6">
        <v>4</v>
      </c>
      <c r="L11" s="6">
        <v>3.04</v>
      </c>
    </row>
    <row r="12" spans="1:12" ht="15.75" customHeight="1" x14ac:dyDescent="0.15">
      <c r="A12" s="7" t="s">
        <v>25</v>
      </c>
      <c r="B12" s="31">
        <f t="shared" si="0"/>
        <v>1.22</v>
      </c>
      <c r="C12" s="31">
        <f ca="1">IFERROR(__xludf.DUMMYFUNCTION("IFERROR(STDEV.S(FILTER(H12:K12, H12:K12&lt;&gt;"""")))"),1.05825327781207)</f>
        <v>1.0582532778120699</v>
      </c>
      <c r="D12" s="49">
        <v>0.86742071949999999</v>
      </c>
      <c r="F12" s="40"/>
      <c r="G12" s="27">
        <v>1890000</v>
      </c>
      <c r="I12" s="6">
        <f t="shared" si="1"/>
        <v>1.89</v>
      </c>
      <c r="J12" s="6"/>
      <c r="K12" s="6">
        <v>0</v>
      </c>
      <c r="L12" s="6">
        <v>1.77</v>
      </c>
    </row>
    <row r="13" spans="1:12" ht="15.75" customHeight="1" x14ac:dyDescent="0.15">
      <c r="A13" s="7" t="s">
        <v>26</v>
      </c>
      <c r="B13" s="31">
        <f t="shared" si="0"/>
        <v>1.0899999999999999</v>
      </c>
      <c r="C13" s="31">
        <f ca="1">IFERROR(__xludf.DUMMYFUNCTION("IFERROR(STDEV.S(FILTER(H13:K13, H13:K13&lt;&gt;"""")))"),0.0141421356237311)</f>
        <v>1.41421356237311E-2</v>
      </c>
      <c r="D13" s="49">
        <v>1.297443635E-2</v>
      </c>
      <c r="F13" s="40"/>
      <c r="G13" s="27">
        <v>1080000</v>
      </c>
      <c r="I13" s="6">
        <f t="shared" si="1"/>
        <v>1.0799999999999998</v>
      </c>
      <c r="J13" s="6"/>
      <c r="K13" s="6"/>
      <c r="L13" s="6">
        <v>1.1000000000000001</v>
      </c>
    </row>
    <row r="14" spans="1:12" ht="15.75" customHeight="1" x14ac:dyDescent="0.15">
      <c r="A14" s="7" t="s">
        <v>27</v>
      </c>
      <c r="B14" s="31">
        <f t="shared" si="0"/>
        <v>0</v>
      </c>
      <c r="C14" s="31" t="str">
        <f ca="1">IFERROR(__xludf.DUMMYFUNCTION("IFERROR(STDEV.S(FILTER(H14:K14, H14:K14&lt;&gt;"""")))"),"")</f>
        <v/>
      </c>
      <c r="D14" s="49" t="s">
        <v>277</v>
      </c>
      <c r="F14" s="40"/>
      <c r="G14" s="6">
        <v>0</v>
      </c>
      <c r="I14" s="6">
        <f t="shared" si="1"/>
        <v>0</v>
      </c>
      <c r="J14" s="6"/>
      <c r="K14" s="6"/>
    </row>
    <row r="15" spans="1:12" ht="15.75" customHeight="1" x14ac:dyDescent="0.15">
      <c r="A15" s="7" t="s">
        <v>28</v>
      </c>
      <c r="B15" s="31">
        <f t="shared" si="0"/>
        <v>0.22</v>
      </c>
      <c r="C15" s="31">
        <f ca="1">IFERROR(__xludf.DUMMYFUNCTION("IFERROR(STDEV.S(FILTER(H15:K15, H15:K15&lt;&gt;"""")))"),0.0141421356237309)</f>
        <v>1.41421356237309E-2</v>
      </c>
      <c r="D15" s="49">
        <v>6.4282434649999998E-2</v>
      </c>
      <c r="F15" s="40"/>
      <c r="G15" s="27">
        <v>210000</v>
      </c>
      <c r="I15" s="6">
        <f t="shared" si="1"/>
        <v>0.21</v>
      </c>
      <c r="J15" s="6"/>
      <c r="K15" s="6"/>
      <c r="L15" s="6">
        <v>0.23</v>
      </c>
    </row>
    <row r="16" spans="1:12" ht="15.75" customHeight="1" x14ac:dyDescent="0.15">
      <c r="A16" s="7" t="s">
        <v>29</v>
      </c>
      <c r="B16" s="31">
        <f t="shared" si="0"/>
        <v>1.5049999999999999</v>
      </c>
      <c r="C16" s="31">
        <f ca="1">IFERROR(__xludf.DUMMYFUNCTION("IFERROR(STDEV.S(FILTER(H16:K16, H16:K16&lt;&gt;"""")))"),0.0070710678118654)</f>
        <v>7.0710678118653999E-3</v>
      </c>
      <c r="D16" s="49">
        <v>4.6983839280000002E-3</v>
      </c>
      <c r="F16" s="40"/>
      <c r="G16" s="27">
        <v>1510000</v>
      </c>
      <c r="I16" s="6">
        <f t="shared" si="1"/>
        <v>1.51</v>
      </c>
      <c r="J16" s="6"/>
      <c r="K16" s="6"/>
      <c r="L16" s="6">
        <v>1.5</v>
      </c>
    </row>
    <row r="17" spans="1:12" ht="15.75" customHeight="1" x14ac:dyDescent="0.15">
      <c r="A17" s="7" t="s">
        <v>30</v>
      </c>
      <c r="B17" s="31">
        <f t="shared" si="0"/>
        <v>0.11</v>
      </c>
      <c r="C17" s="31">
        <f ca="1">IFERROR(__xludf.DUMMYFUNCTION("IFERROR(STDEV.S(FILTER(H17:K17, H17:K17&lt;&gt;"""")))"),0)</f>
        <v>0</v>
      </c>
      <c r="D17" s="49">
        <v>0</v>
      </c>
      <c r="F17" s="40"/>
      <c r="G17" s="27">
        <v>110000</v>
      </c>
      <c r="I17" s="6">
        <f t="shared" si="1"/>
        <v>0.11</v>
      </c>
      <c r="J17" s="6"/>
      <c r="K17" s="6"/>
      <c r="L17" s="6">
        <v>0.11</v>
      </c>
    </row>
    <row r="18" spans="1:12" ht="15.75" customHeight="1" x14ac:dyDescent="0.15">
      <c r="A18" s="7" t="s">
        <v>31</v>
      </c>
      <c r="B18" s="31">
        <f t="shared" si="0"/>
        <v>2.2599999999999998</v>
      </c>
      <c r="C18" s="31">
        <f ca="1">IFERROR(__xludf.DUMMYFUNCTION("IFERROR(STDEV.S(FILTER(H18:K18, H18:K18&lt;&gt;"""")))"),0.0282842712474619)</f>
        <v>2.8284271247461901E-2</v>
      </c>
      <c r="D18" s="49">
        <v>1.251516427E-2</v>
      </c>
      <c r="F18" s="40"/>
      <c r="G18" s="27">
        <v>2240000</v>
      </c>
      <c r="I18" s="6">
        <f t="shared" si="1"/>
        <v>2.2399999999999998</v>
      </c>
      <c r="J18" s="6"/>
      <c r="K18" s="6"/>
      <c r="L18" s="6">
        <v>2.2799999999999998</v>
      </c>
    </row>
    <row r="19" spans="1:12" ht="15.75" customHeight="1" x14ac:dyDescent="0.15">
      <c r="A19" s="7" t="s">
        <v>32</v>
      </c>
      <c r="B19" s="31">
        <f t="shared" si="0"/>
        <v>1.86</v>
      </c>
      <c r="C19" s="31">
        <f ca="1">IFERROR(__xludf.DUMMYFUNCTION("IFERROR(STDEV.S(FILTER(H19:K19, H19:K19&lt;&gt;"""")))"),1.52630272226711)</f>
        <v>1.5263027222671099</v>
      </c>
      <c r="D19" s="49">
        <v>0.82059286139999998</v>
      </c>
      <c r="F19" s="40"/>
      <c r="G19" s="27">
        <v>2660000</v>
      </c>
      <c r="I19" s="6">
        <f t="shared" si="1"/>
        <v>2.6599999999999997</v>
      </c>
      <c r="J19" s="6"/>
      <c r="K19" s="6">
        <v>0.1</v>
      </c>
      <c r="L19" s="6">
        <v>2.82</v>
      </c>
    </row>
    <row r="20" spans="1:12" ht="15.75" customHeight="1" x14ac:dyDescent="0.15">
      <c r="A20" s="7" t="s">
        <v>33</v>
      </c>
      <c r="B20" s="31">
        <f t="shared" si="0"/>
        <v>0</v>
      </c>
      <c r="C20" s="31" t="str">
        <f ca="1">IFERROR(__xludf.DUMMYFUNCTION("IFERROR(STDEV.S(FILTER(H20:K20, H20:K20&lt;&gt;"""")))"),"")</f>
        <v/>
      </c>
      <c r="D20" s="49" t="s">
        <v>277</v>
      </c>
      <c r="E20" s="6"/>
      <c r="F20" s="40"/>
      <c r="G20" s="6">
        <v>0</v>
      </c>
      <c r="I20" s="6">
        <f t="shared" si="1"/>
        <v>0</v>
      </c>
      <c r="J20" s="6"/>
      <c r="K20" s="6"/>
    </row>
    <row r="21" spans="1:12" ht="15.75" customHeight="1" x14ac:dyDescent="0.15">
      <c r="A21" s="7" t="s">
        <v>35</v>
      </c>
      <c r="B21" s="31">
        <f t="shared" si="0"/>
        <v>0.36</v>
      </c>
      <c r="C21" s="31">
        <f ca="1">IFERROR(__xludf.DUMMYFUNCTION("IFERROR(STDEV.S(FILTER(H21:K21, H21:K21&lt;&gt;"""")))"),0)</f>
        <v>0</v>
      </c>
      <c r="D21" s="49">
        <v>0</v>
      </c>
      <c r="E21" s="6"/>
      <c r="F21" s="40"/>
      <c r="G21" s="27">
        <v>360000</v>
      </c>
      <c r="I21" s="6">
        <f t="shared" si="1"/>
        <v>0.36</v>
      </c>
      <c r="J21" s="6"/>
      <c r="K21" s="6"/>
      <c r="L21" s="6">
        <v>0.36</v>
      </c>
    </row>
    <row r="22" spans="1:12" ht="15.75" customHeight="1" x14ac:dyDescent="0.15">
      <c r="A22" s="7" t="s">
        <v>36</v>
      </c>
      <c r="B22" s="31">
        <f t="shared" si="0"/>
        <v>0.45</v>
      </c>
      <c r="C22" s="31">
        <f ca="1">IFERROR(__xludf.DUMMYFUNCTION("IFERROR(STDEV.S(FILTER(H22:K22, H22:K22&lt;&gt;"""")))"),0.0141421356237309)</f>
        <v>1.41421356237309E-2</v>
      </c>
      <c r="D22" s="49">
        <v>3.1426968049999997E-2</v>
      </c>
      <c r="E22" s="6"/>
      <c r="F22" s="40"/>
      <c r="G22" s="27">
        <v>440000</v>
      </c>
      <c r="I22" s="6">
        <f t="shared" si="1"/>
        <v>0.44</v>
      </c>
      <c r="J22" s="6"/>
      <c r="K22" s="6"/>
      <c r="L22" s="6">
        <v>0.46</v>
      </c>
    </row>
    <row r="23" spans="1:12" ht="15.75" customHeight="1" x14ac:dyDescent="0.15">
      <c r="A23" s="7" t="s">
        <v>37</v>
      </c>
      <c r="B23" s="31">
        <f t="shared" si="0"/>
        <v>1.48</v>
      </c>
      <c r="C23" s="31">
        <f ca="1">IFERROR(__xludf.DUMMYFUNCTION("IFERROR(STDEV.S(FILTER(H23:K23, H23:K23&lt;&gt;"""")))"),0.0848528137423857)</f>
        <v>8.4852813742385694E-2</v>
      </c>
      <c r="D23" s="49">
        <v>5.7332982259999998E-2</v>
      </c>
      <c r="E23" s="6"/>
      <c r="F23" s="40"/>
      <c r="G23" s="27">
        <v>1420000</v>
      </c>
      <c r="I23" s="6">
        <f t="shared" si="1"/>
        <v>1.42</v>
      </c>
      <c r="J23" s="6"/>
      <c r="K23" s="6"/>
      <c r="L23" s="6">
        <v>1.54</v>
      </c>
    </row>
    <row r="24" spans="1:12" ht="15.75" customHeight="1" x14ac:dyDescent="0.15">
      <c r="A24" s="7" t="s">
        <v>285</v>
      </c>
      <c r="B24" s="31">
        <f t="shared" si="0"/>
        <v>0.39500000000000002</v>
      </c>
      <c r="C24" s="31">
        <f ca="1">IFERROR(__xludf.DUMMYFUNCTION("IFERROR(STDEV.S(FILTER(H24:K24, H24:K24&lt;&gt;"""")))"),0.0353553390593273)</f>
        <v>3.53553390593273E-2</v>
      </c>
      <c r="D24" s="49">
        <v>8.9507187490000001E-2</v>
      </c>
      <c r="E24" s="6"/>
      <c r="F24" s="40"/>
      <c r="G24" s="27">
        <v>420000</v>
      </c>
      <c r="I24" s="6">
        <f t="shared" si="1"/>
        <v>0.42</v>
      </c>
      <c r="J24" s="6"/>
      <c r="K24" s="6"/>
      <c r="L24" s="6">
        <v>0.37</v>
      </c>
    </row>
    <row r="25" spans="1:12" ht="15.75" customHeight="1" x14ac:dyDescent="0.15">
      <c r="A25" s="7" t="s">
        <v>39</v>
      </c>
      <c r="B25" s="31">
        <f t="shared" si="0"/>
        <v>0</v>
      </c>
      <c r="C25" s="31" t="str">
        <f ca="1">IFERROR(__xludf.DUMMYFUNCTION("IFERROR(STDEV.S(FILTER(H25:K25, H25:K25&lt;&gt;"""")))"),"")</f>
        <v/>
      </c>
      <c r="D25" s="49" t="s">
        <v>277</v>
      </c>
      <c r="E25" s="6"/>
      <c r="F25" s="40"/>
      <c r="G25" s="6">
        <v>0</v>
      </c>
      <c r="I25" s="6">
        <f t="shared" si="1"/>
        <v>0</v>
      </c>
      <c r="J25" s="6"/>
      <c r="K25" s="6"/>
    </row>
    <row r="26" spans="1:12" ht="15.75" customHeight="1" x14ac:dyDescent="0.15">
      <c r="A26" s="7" t="s">
        <v>40</v>
      </c>
      <c r="B26" s="31">
        <f t="shared" si="0"/>
        <v>16.684999999999999</v>
      </c>
      <c r="C26" s="31">
        <f ca="1">IFERROR(__xludf.DUMMYFUNCTION("IFERROR(STDEV.S(FILTER(H26:K26, H26:K26&lt;&gt;"""")))"),7.16532623123329)</f>
        <v>7.1653262312332897</v>
      </c>
      <c r="D26" s="49">
        <v>0.42944718199999998</v>
      </c>
      <c r="E26" s="6"/>
      <c r="F26" s="40">
        <v>10.6</v>
      </c>
      <c r="G26" s="27">
        <v>24490000</v>
      </c>
      <c r="I26" s="6">
        <f t="shared" si="1"/>
        <v>24.49</v>
      </c>
      <c r="J26" s="6">
        <v>10.6</v>
      </c>
      <c r="K26" s="6">
        <v>10.6</v>
      </c>
      <c r="L26" s="6">
        <v>21.05</v>
      </c>
    </row>
    <row r="27" spans="1:12" ht="15.75" customHeight="1" x14ac:dyDescent="0.15">
      <c r="A27" s="7" t="s">
        <v>225</v>
      </c>
      <c r="B27" s="31">
        <f t="shared" si="0"/>
        <v>0</v>
      </c>
      <c r="C27" s="31" t="str">
        <f ca="1">IFERROR(__xludf.DUMMYFUNCTION("IFERROR(STDEV.S(FILTER(H27:K27, H27:K27&lt;&gt;"""")))"),"")</f>
        <v/>
      </c>
      <c r="D27" s="49" t="s">
        <v>277</v>
      </c>
      <c r="F27" s="40"/>
      <c r="G27" s="6">
        <v>0</v>
      </c>
      <c r="I27" s="6">
        <f t="shared" si="1"/>
        <v>0</v>
      </c>
      <c r="J27" s="6"/>
      <c r="K27" s="6"/>
    </row>
    <row r="28" spans="1:12" ht="15.75" customHeight="1" x14ac:dyDescent="0.15">
      <c r="A28" s="7" t="s">
        <v>43</v>
      </c>
      <c r="B28" s="31">
        <f t="shared" si="0"/>
        <v>0.73333333333333339</v>
      </c>
      <c r="C28" s="31">
        <f ca="1">IFERROR(__xludf.DUMMYFUNCTION("IFERROR(STDEV.S(FILTER(H28:K28, H28:K28&lt;&gt;"""")))"),0.636343722632142)</f>
        <v>0.63634372263214201</v>
      </c>
      <c r="D28" s="49">
        <v>0.86774143999999998</v>
      </c>
      <c r="F28" s="40"/>
      <c r="G28" s="27">
        <v>1060000</v>
      </c>
      <c r="I28" s="6">
        <f t="shared" si="1"/>
        <v>1.06</v>
      </c>
      <c r="J28" s="6"/>
      <c r="K28" s="6">
        <v>0</v>
      </c>
      <c r="L28" s="6">
        <v>1.1399999999999999</v>
      </c>
    </row>
    <row r="29" spans="1:12" ht="15.75" customHeight="1" x14ac:dyDescent="0.15">
      <c r="A29" s="7" t="s">
        <v>44</v>
      </c>
      <c r="B29" s="31">
        <f t="shared" si="0"/>
        <v>1.1200000000000001</v>
      </c>
      <c r="C29" s="31">
        <f ca="1">IFERROR(__xludf.DUMMYFUNCTION("IFERROR(STDEV.S(FILTER(H29:K29, H29:K29&lt;&gt;"""")))"),0.0848528137423857)</f>
        <v>8.4852813742385694E-2</v>
      </c>
      <c r="D29" s="49">
        <v>7.5761440839999999E-2</v>
      </c>
      <c r="E29" s="6"/>
      <c r="F29" s="40"/>
      <c r="G29" s="27">
        <v>1180000</v>
      </c>
      <c r="I29" s="6">
        <f t="shared" si="1"/>
        <v>1.18</v>
      </c>
      <c r="J29" s="6"/>
      <c r="K29" s="6"/>
      <c r="L29" s="6">
        <v>1.06</v>
      </c>
    </row>
    <row r="30" spans="1:12" ht="15.75" customHeight="1" x14ac:dyDescent="0.15">
      <c r="A30" s="7" t="s">
        <v>227</v>
      </c>
      <c r="B30" s="31">
        <f t="shared" si="0"/>
        <v>0</v>
      </c>
      <c r="C30" s="31" t="str">
        <f ca="1">IFERROR(__xludf.DUMMYFUNCTION("IFERROR(STDEV.S(FILTER(H30:K30, H30:K30&lt;&gt;"""")))"),"")</f>
        <v/>
      </c>
      <c r="D30" s="49" t="s">
        <v>277</v>
      </c>
      <c r="E30" s="6"/>
      <c r="F30" s="40"/>
      <c r="G30" s="6">
        <v>0</v>
      </c>
      <c r="I30" s="6">
        <f t="shared" si="1"/>
        <v>0</v>
      </c>
      <c r="J30" s="6"/>
      <c r="K30" s="6"/>
    </row>
    <row r="31" spans="1:12" ht="15.75" customHeight="1" x14ac:dyDescent="0.15">
      <c r="A31" s="7" t="s">
        <v>45</v>
      </c>
      <c r="B31" s="31">
        <f t="shared" si="0"/>
        <v>5.4499999999999993</v>
      </c>
      <c r="C31" s="31">
        <f ca="1">IFERROR(__xludf.DUMMYFUNCTION("IFERROR(STDEV.S(FILTER(H31:K31, H31:K31&lt;&gt;"""")))"),0.622253967444161)</f>
        <v>0.62225396744416095</v>
      </c>
      <c r="D31" s="49">
        <v>0.1141750399</v>
      </c>
      <c r="E31" s="6"/>
      <c r="F31" s="40"/>
      <c r="G31" s="27">
        <v>5890000</v>
      </c>
      <c r="I31" s="6">
        <f t="shared" si="1"/>
        <v>5.89</v>
      </c>
      <c r="J31" s="6"/>
      <c r="K31" s="6"/>
      <c r="L31" s="6">
        <v>5.01</v>
      </c>
    </row>
    <row r="32" spans="1:12" ht="15.75" customHeight="1" x14ac:dyDescent="0.15">
      <c r="A32" s="7" t="s">
        <v>46</v>
      </c>
      <c r="B32" s="31">
        <f t="shared" si="0"/>
        <v>1.4100000000000001</v>
      </c>
      <c r="C32" s="31">
        <f ca="1">IFERROR(__xludf.DUMMYFUNCTION("IFERROR(STDEV.S(FILTER(H32:K32, H32:K32&lt;&gt;"""")))"),0.466690475583121)</f>
        <v>0.46669047558312099</v>
      </c>
      <c r="D32" s="49">
        <v>0.3309861529</v>
      </c>
      <c r="E32" s="6"/>
      <c r="F32" s="40"/>
      <c r="G32" s="27">
        <v>1740000</v>
      </c>
      <c r="I32" s="6">
        <f t="shared" si="1"/>
        <v>1.74</v>
      </c>
      <c r="J32" s="6"/>
      <c r="K32" s="6"/>
      <c r="L32" s="6">
        <v>1.08</v>
      </c>
    </row>
    <row r="33" spans="1:12" ht="15.75" customHeight="1" x14ac:dyDescent="0.15">
      <c r="A33" s="7" t="s">
        <v>47</v>
      </c>
      <c r="B33" s="31">
        <f t="shared" si="0"/>
        <v>5.67</v>
      </c>
      <c r="C33" s="31">
        <f ca="1">IFERROR(__xludf.DUMMYFUNCTION("IFERROR(STDEV.S(FILTER(H33:K33, H33:K33&lt;&gt;"""")))"),1.87250278148436)</f>
        <v>1.87250278148436</v>
      </c>
      <c r="D33" s="49">
        <v>0.33024740409999997</v>
      </c>
      <c r="E33" s="6"/>
      <c r="F33" s="40">
        <v>20.12</v>
      </c>
      <c r="G33" s="27">
        <v>7380000</v>
      </c>
      <c r="I33" s="6">
        <f t="shared" si="1"/>
        <v>7.38</v>
      </c>
      <c r="J33" s="6">
        <v>4</v>
      </c>
      <c r="K33" s="6">
        <v>4.0999999999999996</v>
      </c>
      <c r="L33" s="6">
        <v>7.2</v>
      </c>
    </row>
    <row r="34" spans="1:12" ht="15.75" customHeight="1" x14ac:dyDescent="0.15">
      <c r="A34" s="7" t="s">
        <v>48</v>
      </c>
      <c r="B34" s="31">
        <f t="shared" si="0"/>
        <v>0</v>
      </c>
      <c r="C34" s="31" t="str">
        <f ca="1">IFERROR(__xludf.DUMMYFUNCTION("IFERROR(STDEV.S(FILTER(H34:K34, H34:K34&lt;&gt;"""")))"),"")</f>
        <v/>
      </c>
      <c r="D34" s="49" t="s">
        <v>277</v>
      </c>
      <c r="E34" s="6"/>
      <c r="F34" s="40"/>
      <c r="G34" s="6">
        <v>0</v>
      </c>
      <c r="I34" s="6">
        <f t="shared" si="1"/>
        <v>0</v>
      </c>
      <c r="J34" s="6"/>
      <c r="K34" s="6"/>
    </row>
    <row r="35" spans="1:12" ht="45" customHeight="1" x14ac:dyDescent="0.15">
      <c r="A35" s="7" t="s">
        <v>281</v>
      </c>
      <c r="B35" s="31">
        <f t="shared" si="0"/>
        <v>0</v>
      </c>
      <c r="C35" s="31" t="str">
        <f ca="1">IFERROR(__xludf.DUMMYFUNCTION("IFERROR(STDEV.S(FILTER(H35:K35, H35:K35&lt;&gt;"""")))"),"")</f>
        <v/>
      </c>
      <c r="D35" s="49" t="s">
        <v>277</v>
      </c>
      <c r="E35" s="6"/>
      <c r="F35" s="40"/>
      <c r="G35" s="6">
        <v>0</v>
      </c>
      <c r="I35" s="6">
        <f t="shared" si="1"/>
        <v>0</v>
      </c>
      <c r="J35" s="6"/>
      <c r="K35" s="6"/>
    </row>
    <row r="36" spans="1:12" ht="15.75" customHeight="1" x14ac:dyDescent="0.15">
      <c r="A36" s="7" t="s">
        <v>50</v>
      </c>
      <c r="B36" s="31">
        <f t="shared" si="0"/>
        <v>0.18</v>
      </c>
      <c r="C36" s="31">
        <f ca="1">IFERROR(__xludf.DUMMYFUNCTION("IFERROR(STDEV.S(FILTER(H36:K36, H36:K36&lt;&gt;"""")))"),0.0282842712474618)</f>
        <v>2.8284271247461801E-2</v>
      </c>
      <c r="D36" s="49">
        <v>0.15713484029999999</v>
      </c>
      <c r="E36" s="6"/>
      <c r="F36" s="40"/>
      <c r="G36" s="27">
        <v>200000</v>
      </c>
      <c r="I36" s="6">
        <f t="shared" si="1"/>
        <v>0.19999999999999998</v>
      </c>
      <c r="J36" s="6"/>
      <c r="K36" s="6"/>
      <c r="L36" s="6">
        <v>0.16</v>
      </c>
    </row>
    <row r="37" spans="1:12" ht="15.75" customHeight="1" x14ac:dyDescent="0.15">
      <c r="A37" s="7" t="s">
        <v>51</v>
      </c>
      <c r="B37" s="31">
        <f t="shared" si="0"/>
        <v>0.90999999999999992</v>
      </c>
      <c r="C37" s="31">
        <f ca="1">IFERROR(__xludf.DUMMYFUNCTION("IFERROR(STDEV.S(FILTER(H37:K37, H37:K37&lt;&gt;"""")))"),0.0989949493661166)</f>
        <v>9.8994949366116594E-2</v>
      </c>
      <c r="D37" s="49">
        <v>0.1087856586</v>
      </c>
      <c r="E37" s="6"/>
      <c r="F37" s="40"/>
      <c r="G37" s="27">
        <v>980000</v>
      </c>
      <c r="I37" s="6">
        <f t="shared" si="1"/>
        <v>0.98</v>
      </c>
      <c r="J37" s="6"/>
      <c r="K37" s="6"/>
      <c r="L37" s="6">
        <v>0.84</v>
      </c>
    </row>
    <row r="38" spans="1:12" ht="15.75" customHeight="1" x14ac:dyDescent="0.15">
      <c r="A38" s="7" t="s">
        <v>52</v>
      </c>
      <c r="B38" s="31">
        <f t="shared" si="0"/>
        <v>417.65</v>
      </c>
      <c r="C38" s="31">
        <f ca="1">IFERROR(__xludf.DUMMYFUNCTION("IFERROR(STDEV.S(FILTER(H38:K38, H38:K38&lt;&gt;"""")))"),478.433377458833)</f>
        <v>478.43337745883298</v>
      </c>
      <c r="D38" s="49">
        <v>1.1455366389999999</v>
      </c>
      <c r="E38" s="6"/>
      <c r="F38" s="40">
        <v>3.6</v>
      </c>
      <c r="G38" s="27">
        <v>843800000</v>
      </c>
      <c r="I38" s="6">
        <f t="shared" si="1"/>
        <v>843.8</v>
      </c>
      <c r="J38" s="6">
        <v>3.5</v>
      </c>
      <c r="K38" s="6">
        <v>3.3</v>
      </c>
      <c r="L38" s="6">
        <v>820</v>
      </c>
    </row>
    <row r="39" spans="1:12" ht="15.75" customHeight="1" x14ac:dyDescent="0.15">
      <c r="A39" s="7" t="s">
        <v>53</v>
      </c>
      <c r="B39" s="31">
        <f t="shared" si="0"/>
        <v>5.7050000000000001</v>
      </c>
      <c r="C39" s="31">
        <f ca="1">IFERROR(__xludf.DUMMYFUNCTION("IFERROR(STDEV.S(FILTER(H39:K39, H39:K39&lt;&gt;"""")))"),0.23334523779156)</f>
        <v>0.23334523779156</v>
      </c>
      <c r="D39" s="49">
        <v>4.0901882170000001E-2</v>
      </c>
      <c r="F39" s="40"/>
      <c r="G39" s="27">
        <v>5870000</v>
      </c>
      <c r="I39" s="6">
        <f t="shared" si="1"/>
        <v>5.87</v>
      </c>
      <c r="J39" s="6"/>
      <c r="K39" s="6"/>
      <c r="L39" s="6">
        <v>5.54</v>
      </c>
    </row>
    <row r="40" spans="1:12" ht="15.75" customHeight="1" x14ac:dyDescent="0.15">
      <c r="A40" s="7" t="s">
        <v>54</v>
      </c>
      <c r="B40" s="31">
        <f t="shared" si="0"/>
        <v>0</v>
      </c>
      <c r="C40" s="31" t="str">
        <f ca="1">IFERROR(__xludf.DUMMYFUNCTION("IFERROR(STDEV.S(FILTER(H40:K40, H40:K40&lt;&gt;"""")))"),"")</f>
        <v/>
      </c>
      <c r="D40" s="49" t="s">
        <v>277</v>
      </c>
      <c r="F40" s="40"/>
      <c r="G40" s="6">
        <v>0</v>
      </c>
      <c r="I40" s="6">
        <f t="shared" si="1"/>
        <v>0</v>
      </c>
      <c r="J40" s="6"/>
      <c r="K40" s="6"/>
    </row>
    <row r="41" spans="1:12" ht="14" x14ac:dyDescent="0.15">
      <c r="A41" s="7" t="s">
        <v>55</v>
      </c>
      <c r="B41" s="31">
        <f t="shared" si="0"/>
        <v>0.29500000000000004</v>
      </c>
      <c r="C41" s="31">
        <f ca="1">IFERROR(__xludf.DUMMYFUNCTION("IFERROR(STDEV.S(FILTER(H41:K41, H41:K41&lt;&gt;"""")))"),0.0212132034355964)</f>
        <v>2.1213203435596399E-2</v>
      </c>
      <c r="D41" s="49">
        <v>7.1909164189999999E-2</v>
      </c>
      <c r="F41" s="40"/>
      <c r="G41" s="27">
        <v>310000</v>
      </c>
      <c r="I41" s="6">
        <f t="shared" si="1"/>
        <v>0.31</v>
      </c>
      <c r="J41" s="6"/>
      <c r="K41" s="6"/>
      <c r="L41" s="6">
        <v>0.28000000000000003</v>
      </c>
    </row>
    <row r="42" spans="1:12" ht="14" x14ac:dyDescent="0.15">
      <c r="A42" s="7" t="s">
        <v>56</v>
      </c>
      <c r="B42" s="31">
        <f t="shared" si="0"/>
        <v>0</v>
      </c>
      <c r="C42" s="31" t="str">
        <f ca="1">IFERROR(__xludf.DUMMYFUNCTION("IFERROR(STDEV.S(FILTER(H42:K42, H42:K42&lt;&gt;"""")))"),"")</f>
        <v/>
      </c>
      <c r="D42" s="49" t="s">
        <v>277</v>
      </c>
      <c r="F42" s="40"/>
      <c r="G42" s="6">
        <v>0</v>
      </c>
      <c r="I42" s="6">
        <f t="shared" si="1"/>
        <v>0</v>
      </c>
      <c r="J42" s="6"/>
      <c r="K42" s="6"/>
    </row>
    <row r="43" spans="1:12" ht="14" x14ac:dyDescent="0.15">
      <c r="A43" s="7" t="s">
        <v>57</v>
      </c>
      <c r="B43" s="31">
        <f t="shared" si="0"/>
        <v>0.42499999999999999</v>
      </c>
      <c r="C43" s="31">
        <f ca="1">IFERROR(__xludf.DUMMYFUNCTION("IFERROR(STDEV.S(FILTER(H43:K43, H43:K43&lt;&gt;"""")))"),0.0636396103067892)</f>
        <v>6.3639610306789204E-2</v>
      </c>
      <c r="D43" s="49">
        <v>0.1497402595</v>
      </c>
      <c r="F43" s="40"/>
      <c r="G43" s="27">
        <v>380000</v>
      </c>
      <c r="I43" s="6">
        <f t="shared" si="1"/>
        <v>0.38</v>
      </c>
      <c r="J43" s="6"/>
      <c r="K43" s="6"/>
      <c r="L43" s="6">
        <v>0.47</v>
      </c>
    </row>
    <row r="44" spans="1:12" ht="14" x14ac:dyDescent="0.15">
      <c r="A44" s="7" t="s">
        <v>280</v>
      </c>
      <c r="B44" s="31">
        <f t="shared" si="0"/>
        <v>0</v>
      </c>
      <c r="C44" s="31" t="str">
        <f ca="1">IFERROR(__xludf.DUMMYFUNCTION("IFERROR(STDEV.S(FILTER(H44:K44, H44:K44&lt;&gt;"""")))"),"")</f>
        <v/>
      </c>
      <c r="D44" s="49" t="s">
        <v>277</v>
      </c>
      <c r="F44" s="40"/>
      <c r="G44" s="6">
        <v>0</v>
      </c>
      <c r="I44" s="6">
        <f t="shared" si="1"/>
        <v>0</v>
      </c>
      <c r="J44" s="6"/>
      <c r="K44" s="6"/>
    </row>
    <row r="45" spans="1:12" ht="14" x14ac:dyDescent="0.15">
      <c r="A45" s="7" t="s">
        <v>58</v>
      </c>
      <c r="B45" s="31">
        <f t="shared" si="0"/>
        <v>0.79666666666666652</v>
      </c>
      <c r="C45" s="31">
        <f ca="1">IFERROR(__xludf.DUMMYFUNCTION("IFERROR(STDEV.S(FILTER(H45:K45, H45:K45&lt;&gt;"""")))"),0.690096611593864)</f>
        <v>0.69009661159386404</v>
      </c>
      <c r="D45" s="49">
        <v>0.86623005639999995</v>
      </c>
      <c r="F45" s="40"/>
      <c r="G45" s="27">
        <v>1210000</v>
      </c>
      <c r="I45" s="6">
        <f t="shared" si="1"/>
        <v>1.21</v>
      </c>
      <c r="J45" s="6"/>
      <c r="K45" s="6">
        <v>0</v>
      </c>
      <c r="L45" s="6">
        <v>1.18</v>
      </c>
    </row>
    <row r="46" spans="1:12" ht="14" x14ac:dyDescent="0.15">
      <c r="A46" s="7" t="s">
        <v>59</v>
      </c>
      <c r="B46" s="31">
        <f t="shared" si="0"/>
        <v>0.5</v>
      </c>
      <c r="C46" s="31">
        <f ca="1">IFERROR(__xludf.DUMMYFUNCTION("IFERROR(STDEV.S(FILTER(H46:K46, H46:K46&lt;&gt;"""")))"),0.183847763108502)</f>
        <v>0.18384776310850201</v>
      </c>
      <c r="D46" s="49">
        <v>0.36769552620000001</v>
      </c>
      <c r="F46" s="40"/>
      <c r="G46" s="27">
        <v>370000</v>
      </c>
      <c r="I46" s="6">
        <f t="shared" si="1"/>
        <v>0.37</v>
      </c>
      <c r="J46" s="6"/>
      <c r="K46" s="6"/>
      <c r="L46" s="6">
        <v>0.63</v>
      </c>
    </row>
    <row r="47" spans="1:12" ht="14" x14ac:dyDescent="0.15">
      <c r="A47" s="7" t="s">
        <v>61</v>
      </c>
      <c r="B47" s="31">
        <f t="shared" si="0"/>
        <v>0.83499999999999996</v>
      </c>
      <c r="C47" s="31">
        <f ca="1">IFERROR(__xludf.DUMMYFUNCTION("IFERROR(STDEV.S(FILTER(H47:K47, H47:K47&lt;&gt;"""")))"),0.0636396103067892)</f>
        <v>6.3639610306789204E-2</v>
      </c>
      <c r="D47" s="49">
        <v>7.6215102160000006E-2</v>
      </c>
      <c r="F47" s="40"/>
      <c r="G47" s="27">
        <v>880000</v>
      </c>
      <c r="I47" s="6">
        <f t="shared" si="1"/>
        <v>0.88</v>
      </c>
      <c r="J47" s="6"/>
      <c r="K47" s="6"/>
      <c r="L47" s="6">
        <v>0.79</v>
      </c>
    </row>
    <row r="48" spans="1:12" ht="14" x14ac:dyDescent="0.15">
      <c r="A48" s="7" t="s">
        <v>62</v>
      </c>
      <c r="B48" s="31">
        <f t="shared" si="0"/>
        <v>1.97</v>
      </c>
      <c r="C48" s="31">
        <f ca="1">IFERROR(__xludf.DUMMYFUNCTION("IFERROR(STDEV.S(FILTER(H48:K48, H48:K48&lt;&gt;"""")))"),0.0141421356237309)</f>
        <v>1.41421356237309E-2</v>
      </c>
      <c r="D48" s="49">
        <v>7.1787490479999997E-3</v>
      </c>
      <c r="F48" s="40"/>
      <c r="G48" s="27">
        <v>1960000</v>
      </c>
      <c r="I48" s="6">
        <f t="shared" si="1"/>
        <v>1.96</v>
      </c>
      <c r="J48" s="6"/>
      <c r="K48" s="6"/>
      <c r="L48" s="6">
        <v>1.98</v>
      </c>
    </row>
    <row r="49" spans="1:12" ht="28" x14ac:dyDescent="0.15">
      <c r="A49" s="7" t="s">
        <v>278</v>
      </c>
      <c r="B49" s="31">
        <f t="shared" si="0"/>
        <v>0.57000000000000006</v>
      </c>
      <c r="C49" s="31">
        <f ca="1">IFERROR(__xludf.DUMMYFUNCTION("IFERROR(STDEV.S(FILTER(H49:K49, H49:K49&lt;&gt;"""")))"),0.0424264068711928)</f>
        <v>4.2426406871192798E-2</v>
      </c>
      <c r="D49" s="49">
        <v>7.4432292760000004E-2</v>
      </c>
      <c r="F49" s="40"/>
      <c r="G49" s="27">
        <v>600000</v>
      </c>
      <c r="I49" s="6">
        <f t="shared" si="1"/>
        <v>0.6</v>
      </c>
      <c r="J49" s="6"/>
      <c r="K49" s="6"/>
      <c r="L49" s="6">
        <v>0.54</v>
      </c>
    </row>
    <row r="50" spans="1:12" ht="14" x14ac:dyDescent="0.15">
      <c r="A50" s="7" t="s">
        <v>63</v>
      </c>
      <c r="B50" s="31">
        <f t="shared" si="0"/>
        <v>0.78333333333333321</v>
      </c>
      <c r="C50" s="31">
        <f ca="1">IFERROR(__xludf.DUMMYFUNCTION("IFERROR(STDEV.S(FILTER(H50:K50, H50:K50&lt;&gt;"""")))"),0.679877439935561)</f>
        <v>0.67987743993556105</v>
      </c>
      <c r="D50" s="49">
        <v>0.86792864670000003</v>
      </c>
      <c r="F50" s="40"/>
      <c r="G50" s="27">
        <v>1220000</v>
      </c>
      <c r="I50" s="6">
        <f t="shared" si="1"/>
        <v>1.22</v>
      </c>
      <c r="J50" s="6"/>
      <c r="K50" s="6">
        <v>0</v>
      </c>
      <c r="L50" s="6">
        <v>1.1299999999999999</v>
      </c>
    </row>
    <row r="51" spans="1:12" ht="14" x14ac:dyDescent="0.15">
      <c r="A51" s="7" t="s">
        <v>64</v>
      </c>
      <c r="B51" s="31">
        <f t="shared" si="0"/>
        <v>0.12</v>
      </c>
      <c r="C51" s="31">
        <f ca="1">IFERROR(__xludf.DUMMYFUNCTION("IFERROR(STDEV.S(FILTER(H51:K51, H51:K51&lt;&gt;"""")))"),0.0282842712474618)</f>
        <v>2.8284271247461801E-2</v>
      </c>
      <c r="D51" s="49">
        <v>0.2357022604</v>
      </c>
      <c r="F51" s="40"/>
      <c r="G51" s="27">
        <v>140000</v>
      </c>
      <c r="I51" s="6">
        <f t="shared" si="1"/>
        <v>0.13999999999999999</v>
      </c>
      <c r="J51" s="6"/>
      <c r="K51" s="6"/>
      <c r="L51" s="6">
        <v>0.1</v>
      </c>
    </row>
    <row r="52" spans="1:12" ht="14" x14ac:dyDescent="0.15">
      <c r="A52" s="7" t="s">
        <v>65</v>
      </c>
      <c r="B52" s="31">
        <f t="shared" si="0"/>
        <v>0</v>
      </c>
      <c r="C52" s="31" t="str">
        <f ca="1">IFERROR(__xludf.DUMMYFUNCTION("IFERROR(STDEV.S(FILTER(H52:K52, H52:K52&lt;&gt;"""")))"),"")</f>
        <v/>
      </c>
      <c r="D52" s="49" t="s">
        <v>277</v>
      </c>
      <c r="F52" s="40"/>
      <c r="G52" s="6">
        <v>0</v>
      </c>
      <c r="I52" s="6">
        <f t="shared" si="1"/>
        <v>0</v>
      </c>
      <c r="J52" s="6"/>
      <c r="K52" s="6"/>
    </row>
    <row r="53" spans="1:12" ht="28" x14ac:dyDescent="0.15">
      <c r="A53" s="7" t="s">
        <v>279</v>
      </c>
      <c r="B53" s="31">
        <f t="shared" si="0"/>
        <v>2.355</v>
      </c>
      <c r="C53" s="31">
        <f ca="1">IFERROR(__xludf.DUMMYFUNCTION("IFERROR(STDEV.S(FILTER(H53:K53, H53:K53&lt;&gt;"""")))"),0.23334523779156)</f>
        <v>0.23334523779156</v>
      </c>
      <c r="D53" s="49">
        <v>9.9085026660000006E-2</v>
      </c>
      <c r="F53" s="40"/>
      <c r="G53" s="27">
        <v>2520000</v>
      </c>
      <c r="I53" s="6">
        <f t="shared" si="1"/>
        <v>2.52</v>
      </c>
      <c r="J53" s="6"/>
      <c r="K53" s="6"/>
      <c r="L53" s="6">
        <v>2.19</v>
      </c>
    </row>
    <row r="54" spans="1:12" ht="14" x14ac:dyDescent="0.15">
      <c r="A54" s="7" t="s">
        <v>234</v>
      </c>
      <c r="B54" s="31">
        <f t="shared" si="0"/>
        <v>0</v>
      </c>
      <c r="C54" s="31" t="str">
        <f ca="1">IFERROR(__xludf.DUMMYFUNCTION("IFERROR(STDEV.S(FILTER(H54:K54, H54:K54&lt;&gt;"""")))"),"")</f>
        <v/>
      </c>
      <c r="D54" s="49" t="s">
        <v>277</v>
      </c>
      <c r="F54" s="40"/>
      <c r="G54" s="6">
        <v>0</v>
      </c>
      <c r="I54" s="6">
        <f t="shared" si="1"/>
        <v>0</v>
      </c>
      <c r="J54" s="6"/>
      <c r="K54" s="6"/>
    </row>
    <row r="55" spans="1:12" ht="14" x14ac:dyDescent="0.15">
      <c r="A55" s="7" t="s">
        <v>66</v>
      </c>
      <c r="B55" s="31">
        <f t="shared" si="0"/>
        <v>2.16</v>
      </c>
      <c r="C55" s="31">
        <f ca="1">IFERROR(__xludf.DUMMYFUNCTION("IFERROR(STDEV.S(FILTER(H55:K55, H55:K55&lt;&gt;"""")))"),0.0424264068711927)</f>
        <v>4.2426406871192701E-2</v>
      </c>
      <c r="D55" s="49">
        <v>1.9641855029999999E-2</v>
      </c>
      <c r="F55" s="40"/>
      <c r="G55" s="27">
        <v>2130000</v>
      </c>
      <c r="I55" s="6">
        <f t="shared" si="1"/>
        <v>2.13</v>
      </c>
      <c r="J55" s="6"/>
      <c r="K55" s="6"/>
      <c r="L55" s="6">
        <v>2.19</v>
      </c>
    </row>
    <row r="56" spans="1:12" ht="14" x14ac:dyDescent="0.15">
      <c r="A56" s="7" t="s">
        <v>67</v>
      </c>
      <c r="B56" s="31">
        <f t="shared" si="0"/>
        <v>19.93</v>
      </c>
      <c r="C56" s="31">
        <f ca="1">IFERROR(__xludf.DUMMYFUNCTION("IFERROR(STDEV.S(FILTER(H56:K56, H56:K56&lt;&gt;"""")))"),0.367695526217001)</f>
        <v>0.36769552621700102</v>
      </c>
      <c r="D56" s="49">
        <v>1.8449349029999999E-2</v>
      </c>
      <c r="F56" s="40"/>
      <c r="G56" s="27">
        <v>20190000</v>
      </c>
      <c r="I56" s="6">
        <f t="shared" si="1"/>
        <v>20.189999999999998</v>
      </c>
      <c r="J56" s="6"/>
      <c r="K56" s="6"/>
      <c r="L56" s="6">
        <v>19.670000000000002</v>
      </c>
    </row>
    <row r="57" spans="1:12" ht="14" x14ac:dyDescent="0.15">
      <c r="A57" s="7" t="s">
        <v>68</v>
      </c>
      <c r="B57" s="31">
        <f t="shared" si="0"/>
        <v>0.45499999999999996</v>
      </c>
      <c r="C57" s="31">
        <f ca="1">IFERROR(__xludf.DUMMYFUNCTION("IFERROR(STDEV.S(FILTER(H57:K57, H57:K57&lt;&gt;"""")))"),0.0636396103067893)</f>
        <v>6.3639610306789302E-2</v>
      </c>
      <c r="D57" s="49">
        <v>0.13986727539999999</v>
      </c>
      <c r="F57" s="40"/>
      <c r="G57" s="27">
        <v>410000</v>
      </c>
      <c r="I57" s="6">
        <f t="shared" si="1"/>
        <v>0.41</v>
      </c>
      <c r="J57" s="6"/>
      <c r="K57" s="6"/>
      <c r="L57" s="6">
        <v>0.5</v>
      </c>
    </row>
    <row r="58" spans="1:12" ht="14" x14ac:dyDescent="0.15">
      <c r="A58" s="7" t="s">
        <v>282</v>
      </c>
      <c r="B58" s="31">
        <f t="shared" si="0"/>
        <v>0</v>
      </c>
      <c r="C58" s="31" t="str">
        <f ca="1">IFERROR(__xludf.DUMMYFUNCTION("IFERROR(STDEV.S(FILTER(H58:K58, H58:K58&lt;&gt;"""")))"),"")</f>
        <v/>
      </c>
      <c r="D58" s="49" t="s">
        <v>277</v>
      </c>
      <c r="F58" s="40"/>
      <c r="G58" s="6">
        <v>0</v>
      </c>
      <c r="I58" s="6">
        <f t="shared" si="1"/>
        <v>0</v>
      </c>
      <c r="J58" s="6"/>
      <c r="K58" s="6"/>
    </row>
    <row r="59" spans="1:12" ht="14" x14ac:dyDescent="0.15">
      <c r="A59" s="7" t="s">
        <v>69</v>
      </c>
      <c r="B59" s="31">
        <f t="shared" si="0"/>
        <v>7.0000000000000007E-2</v>
      </c>
      <c r="C59" s="31">
        <f ca="1">IFERROR(__xludf.DUMMYFUNCTION("IFERROR(STDEV.S(FILTER(H59:K59, H59:K59&lt;&gt;"""")))"),0)</f>
        <v>0</v>
      </c>
      <c r="D59" s="49">
        <v>0</v>
      </c>
      <c r="F59" s="40"/>
      <c r="G59" s="27">
        <v>70000</v>
      </c>
      <c r="I59" s="6">
        <f t="shared" si="1"/>
        <v>6.9999999999999993E-2</v>
      </c>
      <c r="J59" s="6"/>
      <c r="K59" s="6"/>
      <c r="L59" s="6">
        <v>7.0000000000000007E-2</v>
      </c>
    </row>
    <row r="60" spans="1:12" ht="14" x14ac:dyDescent="0.15">
      <c r="A60" s="7" t="s">
        <v>70</v>
      </c>
      <c r="B60" s="31">
        <f t="shared" si="0"/>
        <v>0.15</v>
      </c>
      <c r="C60" s="31">
        <f ca="1">IFERROR(__xludf.DUMMYFUNCTION("IFERROR(STDEV.S(FILTER(H60:K60, H60:K60&lt;&gt;"""")))"),0.212132034355964)</f>
        <v>0.21213203435596401</v>
      </c>
      <c r="D60" s="49">
        <v>1.414213562</v>
      </c>
      <c r="F60" s="40"/>
      <c r="G60" s="6">
        <v>0</v>
      </c>
      <c r="I60" s="6">
        <f t="shared" si="1"/>
        <v>0</v>
      </c>
      <c r="J60" s="6"/>
      <c r="K60" s="6"/>
      <c r="L60" s="6">
        <v>0.3</v>
      </c>
    </row>
    <row r="61" spans="1:12" ht="14" x14ac:dyDescent="0.15">
      <c r="A61" s="7" t="s">
        <v>283</v>
      </c>
      <c r="B61" s="31">
        <f t="shared" si="0"/>
        <v>0</v>
      </c>
      <c r="C61" s="31" t="str">
        <f ca="1">IFERROR(__xludf.DUMMYFUNCTION("IFERROR(STDEV.S(FILTER(H61:K61, H61:K61&lt;&gt;"""")))"),"")</f>
        <v/>
      </c>
      <c r="D61" s="49" t="s">
        <v>277</v>
      </c>
      <c r="F61" s="40"/>
      <c r="G61" s="6">
        <v>0</v>
      </c>
      <c r="I61" s="6">
        <f t="shared" si="1"/>
        <v>0</v>
      </c>
      <c r="J61" s="6"/>
      <c r="K61" s="6"/>
    </row>
    <row r="62" spans="1:12" ht="14" x14ac:dyDescent="0.15">
      <c r="A62" s="7" t="s">
        <v>71</v>
      </c>
      <c r="B62" s="31">
        <f t="shared" si="0"/>
        <v>3.7</v>
      </c>
      <c r="C62" s="31">
        <f ca="1">IFERROR(__xludf.DUMMYFUNCTION("IFERROR(STDEV.S(FILTER(H62:K62, H62:K62&lt;&gt;"""")))"),0.028284271247462)</f>
        <v>2.8284271247461999E-2</v>
      </c>
      <c r="D62" s="49">
        <v>7.6443976339999999E-3</v>
      </c>
      <c r="F62" s="40"/>
      <c r="G62" s="27">
        <v>3680000</v>
      </c>
      <c r="I62" s="6">
        <f t="shared" si="1"/>
        <v>3.6799999999999997</v>
      </c>
      <c r="J62" s="6"/>
      <c r="K62" s="6"/>
      <c r="L62" s="6">
        <v>3.72</v>
      </c>
    </row>
    <row r="63" spans="1:12" ht="14" x14ac:dyDescent="0.15">
      <c r="A63" s="7" t="s">
        <v>74</v>
      </c>
      <c r="B63" s="31">
        <f t="shared" si="0"/>
        <v>0</v>
      </c>
      <c r="C63" s="31" t="str">
        <f ca="1">IFERROR(__xludf.DUMMYFUNCTION("IFERROR(STDEV.S(FILTER(H63:K63, H63:K63&lt;&gt;"""")))"),"")</f>
        <v/>
      </c>
      <c r="D63" s="49" t="s">
        <v>277</v>
      </c>
      <c r="F63" s="40"/>
      <c r="G63" s="6">
        <v>0</v>
      </c>
      <c r="I63" s="6">
        <f t="shared" si="1"/>
        <v>0</v>
      </c>
      <c r="J63" s="6"/>
      <c r="K63" s="6"/>
    </row>
    <row r="64" spans="1:12" ht="14" x14ac:dyDescent="0.15">
      <c r="A64" s="7" t="s">
        <v>75</v>
      </c>
      <c r="B64" s="31">
        <f t="shared" si="0"/>
        <v>0.39999999999999997</v>
      </c>
      <c r="C64" s="31">
        <f ca="1">IFERROR(__xludf.DUMMYFUNCTION("IFERROR(STDEV.S(FILTER(H64:K64, H64:K64&lt;&gt;"""")))"),0.346987031457949)</f>
        <v>0.34698703145794901</v>
      </c>
      <c r="D64" s="49">
        <v>0.86746757860000001</v>
      </c>
      <c r="F64" s="40"/>
      <c r="G64" s="27">
        <v>620000</v>
      </c>
      <c r="I64" s="6">
        <f t="shared" si="1"/>
        <v>0.62</v>
      </c>
      <c r="J64" s="6"/>
      <c r="K64" s="6">
        <v>0</v>
      </c>
      <c r="L64" s="6">
        <v>0.57999999999999996</v>
      </c>
    </row>
    <row r="65" spans="1:12" ht="14" x14ac:dyDescent="0.15">
      <c r="A65" s="7" t="s">
        <v>76</v>
      </c>
      <c r="B65" s="31">
        <f t="shared" si="0"/>
        <v>4.4366666666666665</v>
      </c>
      <c r="C65" s="31">
        <f ca="1">IFERROR(__xludf.DUMMYFUNCTION("IFERROR(STDEV.S(FILTER(H65:K65, H65:K65&lt;&gt;"""")))"),3.84539118079465)</f>
        <v>3.8453911807946501</v>
      </c>
      <c r="D65" s="49">
        <v>0.86672979279999995</v>
      </c>
      <c r="F65" s="40"/>
      <c r="G65" s="27">
        <v>6500000</v>
      </c>
      <c r="I65" s="6">
        <f t="shared" si="1"/>
        <v>6.5</v>
      </c>
      <c r="J65" s="6"/>
      <c r="K65" s="6">
        <v>0</v>
      </c>
      <c r="L65" s="6">
        <v>6.81</v>
      </c>
    </row>
    <row r="66" spans="1:12" ht="14" x14ac:dyDescent="0.15">
      <c r="A66" s="7" t="s">
        <v>79</v>
      </c>
      <c r="B66" s="31">
        <f t="shared" si="0"/>
        <v>0.20499999999999999</v>
      </c>
      <c r="C66" s="31">
        <f ca="1">IFERROR(__xludf.DUMMYFUNCTION("IFERROR(STDEV.S(FILTER(H66:K66, H66:K66&lt;&gt;"""")))"),0.00707106781186548)</f>
        <v>7.0710678118654797E-3</v>
      </c>
      <c r="D66" s="49">
        <v>3.449301372E-2</v>
      </c>
      <c r="F66" s="40"/>
      <c r="G66" s="27">
        <v>200000</v>
      </c>
      <c r="I66" s="6">
        <f t="shared" si="1"/>
        <v>0.19999999999999998</v>
      </c>
      <c r="J66" s="6"/>
      <c r="K66" s="6"/>
      <c r="L66" s="6">
        <v>0.21</v>
      </c>
    </row>
    <row r="67" spans="1:12" ht="14" x14ac:dyDescent="0.15">
      <c r="A67" s="7" t="s">
        <v>80</v>
      </c>
      <c r="B67" s="31">
        <f t="shared" si="0"/>
        <v>0</v>
      </c>
      <c r="C67" s="31" t="str">
        <f ca="1">IFERROR(__xludf.DUMMYFUNCTION("IFERROR(STDEV.S(FILTER(H67:K67, H67:K67&lt;&gt;"""")))"),"")</f>
        <v/>
      </c>
      <c r="D67" s="49" t="s">
        <v>277</v>
      </c>
      <c r="F67" s="40"/>
      <c r="G67" s="6">
        <v>0</v>
      </c>
      <c r="I67" s="6">
        <f t="shared" si="1"/>
        <v>0</v>
      </c>
      <c r="J67" s="6"/>
      <c r="K67" s="6"/>
    </row>
    <row r="68" spans="1:12" ht="14" x14ac:dyDescent="0.15">
      <c r="A68" s="7" t="s">
        <v>81</v>
      </c>
      <c r="B68" s="31">
        <f t="shared" si="0"/>
        <v>1.02</v>
      </c>
      <c r="C68" s="31">
        <f ca="1">IFERROR(__xludf.DUMMYFUNCTION("IFERROR(STDEV.S(FILTER(H68:K68, H68:K68&lt;&gt;"""")))"),0)</f>
        <v>0</v>
      </c>
      <c r="D68" s="49">
        <v>0</v>
      </c>
      <c r="F68" s="40"/>
      <c r="G68" s="27">
        <v>1020000</v>
      </c>
      <c r="I68" s="6">
        <f t="shared" si="1"/>
        <v>1.02</v>
      </c>
      <c r="J68" s="6"/>
      <c r="K68" s="6"/>
      <c r="L68" s="6">
        <v>1.02</v>
      </c>
    </row>
    <row r="69" spans="1:12" ht="14" x14ac:dyDescent="0.15">
      <c r="A69" s="7" t="s">
        <v>82</v>
      </c>
      <c r="B69" s="31">
        <f t="shared" si="0"/>
        <v>8.9766666666666666</v>
      </c>
      <c r="C69" s="31">
        <f ca="1">IFERROR(__xludf.DUMMYFUNCTION("IFERROR(STDEV.S(FILTER(H69:K69, H69:K69&lt;&gt;"""")))"),7.77599082646921)</f>
        <v>7.7759908264692097</v>
      </c>
      <c r="D69" s="49">
        <v>0.86624480059999998</v>
      </c>
      <c r="F69" s="40"/>
      <c r="G69" s="27">
        <v>13640000</v>
      </c>
      <c r="I69" s="6">
        <f t="shared" si="1"/>
        <v>13.639999999999999</v>
      </c>
      <c r="J69" s="6"/>
      <c r="K69" s="6">
        <v>0</v>
      </c>
      <c r="L69" s="6">
        <v>13.29</v>
      </c>
    </row>
    <row r="70" spans="1:12" ht="14" x14ac:dyDescent="0.15">
      <c r="A70" s="7" t="s">
        <v>83</v>
      </c>
      <c r="B70" s="31">
        <f t="shared" si="0"/>
        <v>3.5000000000000003E-2</v>
      </c>
      <c r="C70" s="31">
        <f ca="1">IFERROR(__xludf.DUMMYFUNCTION("IFERROR(STDEV.S(FILTER(H70:K70, H70:K70&lt;&gt;"""")))"),0.00707106781186547)</f>
        <v>7.0710678118654701E-3</v>
      </c>
      <c r="D70" s="49">
        <v>0.20203050889999999</v>
      </c>
      <c r="F70" s="40"/>
      <c r="G70" s="27">
        <v>40000</v>
      </c>
      <c r="I70" s="6">
        <f t="shared" si="1"/>
        <v>0.04</v>
      </c>
      <c r="J70" s="6"/>
      <c r="K70" s="6"/>
      <c r="L70" s="6">
        <v>0.03</v>
      </c>
    </row>
    <row r="71" spans="1:12" ht="14" x14ac:dyDescent="0.15">
      <c r="A71" s="7" t="s">
        <v>85</v>
      </c>
      <c r="B71" s="31">
        <f t="shared" si="0"/>
        <v>2.1766666666666663</v>
      </c>
      <c r="C71" s="31">
        <f ca="1">IFERROR(__xludf.DUMMYFUNCTION("IFERROR(STDEV.S(FILTER(H71:K71, H71:K71&lt;&gt;"""")))"),1.88744094830363)</f>
        <v>1.8874409483036301</v>
      </c>
      <c r="D71" s="49">
        <v>0.86712447849999996</v>
      </c>
      <c r="F71" s="40"/>
      <c r="G71" s="27">
        <v>3170000</v>
      </c>
      <c r="I71" s="6">
        <f t="shared" si="1"/>
        <v>3.17</v>
      </c>
      <c r="J71" s="6"/>
      <c r="K71" s="6">
        <v>0</v>
      </c>
      <c r="L71" s="6">
        <v>3.36</v>
      </c>
    </row>
    <row r="72" spans="1:12" ht="14" x14ac:dyDescent="0.15">
      <c r="A72" s="7" t="s">
        <v>86</v>
      </c>
      <c r="B72" s="31">
        <f t="shared" si="0"/>
        <v>0</v>
      </c>
      <c r="C72" s="31" t="str">
        <f ca="1">IFERROR(__xludf.DUMMYFUNCTION("IFERROR(STDEV.S(FILTER(H72:K72, H72:K72&lt;&gt;"""")))"),"")</f>
        <v/>
      </c>
      <c r="D72" s="49" t="s">
        <v>277</v>
      </c>
      <c r="E72" s="6"/>
      <c r="F72" s="40"/>
      <c r="G72" s="6">
        <v>0</v>
      </c>
      <c r="I72" s="6">
        <f t="shared" si="1"/>
        <v>0</v>
      </c>
      <c r="J72" s="6"/>
      <c r="K72" s="6"/>
    </row>
    <row r="73" spans="1:12" ht="14" x14ac:dyDescent="0.15">
      <c r="A73" s="7" t="s">
        <v>88</v>
      </c>
      <c r="B73" s="31">
        <f t="shared" si="0"/>
        <v>1.2149999999999999</v>
      </c>
      <c r="C73" s="31">
        <f ca="1">IFERROR(__xludf.DUMMYFUNCTION("IFERROR(STDEV.S(FILTER(H73:K73, H73:K73&lt;&gt;"""")))"),0.134350288425443)</f>
        <v>0.134350288425443</v>
      </c>
      <c r="D73" s="49">
        <v>0.1105763691</v>
      </c>
      <c r="E73" s="6"/>
      <c r="F73" s="40"/>
      <c r="G73" s="27">
        <v>1310000</v>
      </c>
      <c r="I73" s="6">
        <f t="shared" si="1"/>
        <v>1.3099999999999998</v>
      </c>
      <c r="J73" s="6"/>
      <c r="K73" s="6"/>
      <c r="L73" s="6">
        <v>1.1200000000000001</v>
      </c>
    </row>
    <row r="74" spans="1:12" ht="14" x14ac:dyDescent="0.15">
      <c r="A74" s="7" t="s">
        <v>89</v>
      </c>
      <c r="B74" s="31">
        <f t="shared" si="0"/>
        <v>0</v>
      </c>
      <c r="C74" s="31" t="str">
        <f ca="1">IFERROR(__xludf.DUMMYFUNCTION("IFERROR(STDEV.S(FILTER(H74:K74, H74:K74&lt;&gt;"""")))"),"")</f>
        <v/>
      </c>
      <c r="D74" s="49" t="s">
        <v>277</v>
      </c>
      <c r="E74" s="6"/>
      <c r="F74" s="40"/>
      <c r="G74" s="6">
        <v>0</v>
      </c>
      <c r="I74" s="6">
        <f t="shared" si="1"/>
        <v>0</v>
      </c>
      <c r="J74" s="6"/>
      <c r="K74" s="6"/>
    </row>
    <row r="75" spans="1:12" ht="14" x14ac:dyDescent="0.15">
      <c r="A75" s="7" t="s">
        <v>90</v>
      </c>
      <c r="B75" s="31">
        <f t="shared" si="0"/>
        <v>0</v>
      </c>
      <c r="C75" s="31" t="str">
        <f ca="1">IFERROR(__xludf.DUMMYFUNCTION("IFERROR(STDEV.S(FILTER(H75:K75, H75:K75&lt;&gt;"""")))"),"")</f>
        <v/>
      </c>
      <c r="D75" s="49" t="s">
        <v>277</v>
      </c>
      <c r="E75" s="6"/>
      <c r="F75" s="40"/>
      <c r="G75" s="6">
        <v>0</v>
      </c>
      <c r="I75" s="6">
        <f t="shared" si="1"/>
        <v>0</v>
      </c>
      <c r="J75" s="6"/>
      <c r="K75" s="6"/>
    </row>
    <row r="76" spans="1:12" ht="14" x14ac:dyDescent="0.15">
      <c r="A76" s="7" t="s">
        <v>91</v>
      </c>
      <c r="B76" s="31">
        <f t="shared" si="0"/>
        <v>0.16</v>
      </c>
      <c r="C76" s="31">
        <f ca="1">IFERROR(__xludf.DUMMYFUNCTION("IFERROR(STDEV.S(FILTER(H76:K76, H76:K76&lt;&gt;"""")))"),0)</f>
        <v>0</v>
      </c>
      <c r="D76" s="49">
        <v>0</v>
      </c>
      <c r="E76" s="6"/>
      <c r="F76" s="40"/>
      <c r="G76" s="27">
        <v>160000</v>
      </c>
      <c r="I76" s="6">
        <f t="shared" si="1"/>
        <v>0.16</v>
      </c>
      <c r="J76" s="6"/>
      <c r="K76" s="6"/>
      <c r="L76" s="6">
        <v>0.16</v>
      </c>
    </row>
    <row r="77" spans="1:12" ht="14" x14ac:dyDescent="0.15">
      <c r="A77" s="7" t="s">
        <v>92</v>
      </c>
      <c r="B77" s="31">
        <f t="shared" si="0"/>
        <v>0.12</v>
      </c>
      <c r="C77" s="31">
        <f ca="1">IFERROR(__xludf.DUMMYFUNCTION("IFERROR(STDEV.S(FILTER(H77:K77, H77:K77&lt;&gt;"""")))"),0)</f>
        <v>0</v>
      </c>
      <c r="D77" s="49">
        <v>0</v>
      </c>
      <c r="E77" s="6"/>
      <c r="F77" s="40"/>
      <c r="G77" s="27">
        <v>120000</v>
      </c>
      <c r="I77" s="6">
        <f t="shared" si="1"/>
        <v>0.12</v>
      </c>
      <c r="J77" s="6"/>
      <c r="K77" s="6"/>
      <c r="L77" s="6">
        <v>0.12</v>
      </c>
    </row>
    <row r="78" spans="1:12" ht="14" x14ac:dyDescent="0.15">
      <c r="A78" s="7" t="s">
        <v>93</v>
      </c>
      <c r="B78" s="31">
        <f t="shared" si="0"/>
        <v>0.73499999999999999</v>
      </c>
      <c r="C78" s="31">
        <f ca="1">IFERROR(__xludf.DUMMYFUNCTION("IFERROR(STDEV.S(FILTER(H78:K78, H78:K78&lt;&gt;"""")))"),0.0494974746830583)</f>
        <v>4.9497474683058297E-2</v>
      </c>
      <c r="D78" s="49">
        <v>6.7343502969999997E-2</v>
      </c>
      <c r="E78" s="6"/>
      <c r="F78" s="40"/>
      <c r="G78" s="27">
        <v>700000</v>
      </c>
      <c r="I78" s="6">
        <f t="shared" si="1"/>
        <v>0.7</v>
      </c>
      <c r="J78" s="6"/>
      <c r="K78" s="6"/>
      <c r="L78" s="6">
        <v>0.77</v>
      </c>
    </row>
    <row r="79" spans="1:12" ht="14" x14ac:dyDescent="0.15">
      <c r="A79" s="7" t="s">
        <v>94</v>
      </c>
      <c r="B79" s="31">
        <f t="shared" si="0"/>
        <v>0.73999999999999988</v>
      </c>
      <c r="C79" s="31">
        <f ca="1">IFERROR(__xludf.DUMMYFUNCTION("IFERROR(STDEV.S(FILTER(H79:K79, H79:K79&lt;&gt;"""")))"),0.46776062254106)</f>
        <v>0.46776062254105999</v>
      </c>
      <c r="D79" s="49">
        <v>0.63210894939999995</v>
      </c>
      <c r="E79" s="6"/>
      <c r="F79" s="40">
        <v>0.16</v>
      </c>
      <c r="G79" s="27">
        <v>1000000</v>
      </c>
      <c r="I79" s="6">
        <f t="shared" si="1"/>
        <v>1</v>
      </c>
      <c r="J79" s="6"/>
      <c r="K79" s="6">
        <v>0.2</v>
      </c>
      <c r="L79" s="6">
        <v>1.02</v>
      </c>
    </row>
    <row r="80" spans="1:12" ht="14" x14ac:dyDescent="0.15">
      <c r="A80" s="7" t="s">
        <v>95</v>
      </c>
      <c r="B80" s="31">
        <f t="shared" si="0"/>
        <v>0</v>
      </c>
      <c r="C80" s="31">
        <f ca="1">IFERROR(__xludf.DUMMYFUNCTION("IFERROR(STDEV.S(FILTER(H80:K80, H80:K80&lt;&gt;"""")))"),0)</f>
        <v>0</v>
      </c>
      <c r="D80" s="49" t="s">
        <v>277</v>
      </c>
      <c r="E80" s="6"/>
      <c r="F80" s="40">
        <v>4.0000000000000001E-3</v>
      </c>
      <c r="G80" s="6">
        <v>0</v>
      </c>
      <c r="I80" s="6">
        <f t="shared" si="1"/>
        <v>0</v>
      </c>
      <c r="J80" s="6"/>
      <c r="K80" s="6">
        <v>0</v>
      </c>
    </row>
    <row r="81" spans="1:12" ht="14" x14ac:dyDescent="0.15">
      <c r="A81" s="7" t="s">
        <v>96</v>
      </c>
      <c r="B81" s="31">
        <f t="shared" si="0"/>
        <v>97.566666666666663</v>
      </c>
      <c r="C81" s="31">
        <f ca="1">IFERROR(__xludf.DUMMYFUNCTION("IFERROR(STDEV.S(FILTER(H81:K81, H81:K81&lt;&gt;"""")))"),84.5367572913305)</f>
        <v>84.536757291330503</v>
      </c>
      <c r="D81" s="49">
        <v>0.86645121920000001</v>
      </c>
      <c r="F81" s="40"/>
      <c r="G81" s="27">
        <v>149000000</v>
      </c>
      <c r="I81" s="6">
        <f t="shared" si="1"/>
        <v>149</v>
      </c>
      <c r="J81" s="6"/>
      <c r="K81" s="6">
        <v>0</v>
      </c>
      <c r="L81" s="6">
        <v>143.69999999999999</v>
      </c>
    </row>
    <row r="82" spans="1:12" ht="14" x14ac:dyDescent="0.15">
      <c r="A82" s="7" t="s">
        <v>97</v>
      </c>
      <c r="B82" s="31">
        <f t="shared" si="0"/>
        <v>19.14</v>
      </c>
      <c r="C82" s="31">
        <f ca="1">IFERROR(__xludf.DUMMYFUNCTION("IFERROR(STDEV.S(FILTER(H82:K82, H82:K82&lt;&gt;"""")))"),16.639026413826)</f>
        <v>16.639026413825999</v>
      </c>
      <c r="D82" s="49">
        <v>0.86933262349999996</v>
      </c>
      <c r="F82" s="40"/>
      <c r="G82" s="27">
        <v>27260000</v>
      </c>
      <c r="I82" s="6">
        <f t="shared" si="1"/>
        <v>27.259999999999998</v>
      </c>
      <c r="J82" s="6"/>
      <c r="K82" s="6">
        <v>0</v>
      </c>
      <c r="L82" s="6">
        <v>30.16</v>
      </c>
    </row>
    <row r="83" spans="1:12" ht="14" x14ac:dyDescent="0.15">
      <c r="A83" s="7" t="s">
        <v>98</v>
      </c>
      <c r="B83" s="31">
        <f t="shared" si="0"/>
        <v>36.36</v>
      </c>
      <c r="C83" s="31">
        <f ca="1">IFERROR(__xludf.DUMMYFUNCTION("IFERROR(STDEV.S(FILTER(H83:K83, H83:K83&lt;&gt;"""")))"),1.49906637611548)</f>
        <v>1.4990663761154801</v>
      </c>
      <c r="D83" s="49">
        <v>4.1228448190000003E-2</v>
      </c>
      <c r="F83" s="40"/>
      <c r="G83" s="27">
        <v>37420000</v>
      </c>
      <c r="I83" s="6">
        <f t="shared" si="1"/>
        <v>37.42</v>
      </c>
      <c r="J83" s="6"/>
      <c r="K83" s="6"/>
      <c r="L83" s="6">
        <v>35.299999999999997</v>
      </c>
    </row>
    <row r="84" spans="1:12" ht="14" x14ac:dyDescent="0.15">
      <c r="A84" s="7" t="s">
        <v>99</v>
      </c>
      <c r="B84" s="31">
        <f t="shared" si="0"/>
        <v>9.7799999999999994</v>
      </c>
      <c r="C84" s="31">
        <f ca="1">IFERROR(__xludf.DUMMYFUNCTION("IFERROR(STDEV.S(FILTER(H84:K84, H84:K84&lt;&gt;"""")))"),0.494974746830582)</f>
        <v>0.49497474683058201</v>
      </c>
      <c r="D84" s="49">
        <v>5.0610914809999998E-2</v>
      </c>
      <c r="F84" s="40"/>
      <c r="G84" s="27">
        <v>10130000</v>
      </c>
      <c r="I84" s="6">
        <f t="shared" si="1"/>
        <v>10.129999999999999</v>
      </c>
      <c r="J84" s="6"/>
      <c r="K84" s="6"/>
      <c r="L84" s="6">
        <v>9.43</v>
      </c>
    </row>
    <row r="85" spans="1:12" ht="14" x14ac:dyDescent="0.15">
      <c r="A85" s="7" t="s">
        <v>100</v>
      </c>
      <c r="B85" s="31">
        <f t="shared" si="0"/>
        <v>1.33</v>
      </c>
      <c r="C85" s="31">
        <f ca="1">IFERROR(__xludf.DUMMYFUNCTION("IFERROR(STDEV.S(FILTER(H85:K85, H85:K85&lt;&gt;"""")))"),1.15658981493008)</f>
        <v>1.15658981493008</v>
      </c>
      <c r="D85" s="49">
        <v>0.86961640220000003</v>
      </c>
      <c r="F85" s="40"/>
      <c r="G85" s="27">
        <v>2100000</v>
      </c>
      <c r="I85" s="6">
        <f t="shared" si="1"/>
        <v>2.1</v>
      </c>
      <c r="J85" s="6"/>
      <c r="K85" s="6">
        <v>0</v>
      </c>
      <c r="L85" s="6">
        <v>1.89</v>
      </c>
    </row>
    <row r="86" spans="1:12" ht="14" x14ac:dyDescent="0.15">
      <c r="A86" s="7" t="s">
        <v>101</v>
      </c>
      <c r="B86" s="31">
        <f t="shared" si="0"/>
        <v>1.62</v>
      </c>
      <c r="C86" s="31">
        <f ca="1">IFERROR(__xludf.DUMMYFUNCTION("IFERROR(STDEV.S(FILTER(H86:K86, H86:K86&lt;&gt;"""")))"),0.15556349186104)</f>
        <v>0.15556349186103999</v>
      </c>
      <c r="D86" s="49">
        <v>9.6026846829999998E-2</v>
      </c>
      <c r="F86" s="40"/>
      <c r="G86" s="27">
        <v>1730000</v>
      </c>
      <c r="I86" s="6">
        <f t="shared" si="1"/>
        <v>1.73</v>
      </c>
      <c r="J86" s="6"/>
      <c r="K86" s="6"/>
      <c r="L86" s="6">
        <v>1.51</v>
      </c>
    </row>
    <row r="87" spans="1:12" ht="14" x14ac:dyDescent="0.15">
      <c r="A87" s="7" t="s">
        <v>102</v>
      </c>
      <c r="B87" s="31">
        <f t="shared" si="0"/>
        <v>5.2766666666666664</v>
      </c>
      <c r="C87" s="31">
        <f ca="1">IFERROR(__xludf.DUMMYFUNCTION("IFERROR(STDEV.S(FILTER(H87:K87, H87:K87&lt;&gt;"""")))"),4.569730116028)</f>
        <v>4.5697301160280004</v>
      </c>
      <c r="D87" s="49">
        <v>0.86602592219999996</v>
      </c>
      <c r="F87" s="40"/>
      <c r="G87" s="27">
        <v>7920000</v>
      </c>
      <c r="I87" s="6">
        <f t="shared" si="1"/>
        <v>7.92</v>
      </c>
      <c r="J87" s="6"/>
      <c r="K87" s="6">
        <v>0</v>
      </c>
      <c r="L87" s="6">
        <v>7.91</v>
      </c>
    </row>
    <row r="88" spans="1:12" ht="14" x14ac:dyDescent="0.15">
      <c r="A88" s="7" t="s">
        <v>103</v>
      </c>
      <c r="B88" s="31">
        <f t="shared" si="0"/>
        <v>0.36499999999999999</v>
      </c>
      <c r="C88" s="31">
        <f ca="1">IFERROR(__xludf.DUMMYFUNCTION("IFERROR(STDEV.S(FILTER(H88:K88, H88:K88&lt;&gt;"""")))"),0.0494974746830582)</f>
        <v>4.94974746830582E-2</v>
      </c>
      <c r="D88" s="49">
        <v>0.13560951969999999</v>
      </c>
      <c r="F88" s="40"/>
      <c r="G88" s="27">
        <v>400000</v>
      </c>
      <c r="I88" s="6">
        <f t="shared" si="1"/>
        <v>0.39999999999999997</v>
      </c>
      <c r="J88" s="6"/>
      <c r="K88" s="6"/>
      <c r="L88" s="6">
        <v>0.33</v>
      </c>
    </row>
    <row r="89" spans="1:12" ht="14" x14ac:dyDescent="0.15">
      <c r="A89" s="7" t="s">
        <v>104</v>
      </c>
      <c r="B89" s="31">
        <f t="shared" si="0"/>
        <v>16.643333333333331</v>
      </c>
      <c r="C89" s="31">
        <f ca="1">IFERROR(__xludf.DUMMYFUNCTION("IFERROR(STDEV.S(FILTER(H89:K89, H89:K89&lt;&gt;"""")))"),14.2479343532083)</f>
        <v>14.247934353208301</v>
      </c>
      <c r="D89" s="49">
        <v>0.85607456559999995</v>
      </c>
      <c r="F89" s="40"/>
      <c r="G89" s="27">
        <v>24400000</v>
      </c>
      <c r="I89" s="6">
        <f t="shared" si="1"/>
        <v>24.4</v>
      </c>
      <c r="J89" s="6"/>
      <c r="K89" s="6">
        <v>0.2</v>
      </c>
      <c r="L89" s="6">
        <v>25.33</v>
      </c>
    </row>
    <row r="90" spans="1:12" ht="14" x14ac:dyDescent="0.15">
      <c r="A90" s="7" t="s">
        <v>266</v>
      </c>
      <c r="B90" s="31">
        <f t="shared" si="0"/>
        <v>1.2549999999999999</v>
      </c>
      <c r="C90" s="31">
        <f ca="1">IFERROR(__xludf.DUMMYFUNCTION("IFERROR(STDEV.S(FILTER(H90:K90, H90:K90&lt;&gt;"""")))"),0.0636396103067892)</f>
        <v>6.3639610306789204E-2</v>
      </c>
      <c r="D90" s="49">
        <v>5.0708852829999998E-2</v>
      </c>
      <c r="F90" s="40"/>
      <c r="G90" s="27">
        <v>1300000</v>
      </c>
      <c r="I90" s="6">
        <f t="shared" si="1"/>
        <v>1.3</v>
      </c>
      <c r="J90" s="6"/>
      <c r="K90" s="6"/>
      <c r="L90" s="6">
        <v>1.21</v>
      </c>
    </row>
    <row r="91" spans="1:12" ht="14" x14ac:dyDescent="0.15">
      <c r="A91" s="7" t="s">
        <v>106</v>
      </c>
      <c r="B91" s="31">
        <f t="shared" si="0"/>
        <v>3.82</v>
      </c>
      <c r="C91" s="31">
        <f ca="1">IFERROR(__xludf.DUMMYFUNCTION("IFERROR(STDEV.S(FILTER(H91:K91, H91:K91&lt;&gt;"""")))"),0.0282842712474619)</f>
        <v>2.8284271247461901E-2</v>
      </c>
      <c r="D91" s="49">
        <v>7.4042594890000001E-3</v>
      </c>
      <c r="F91" s="40"/>
      <c r="G91" s="27">
        <v>3840000</v>
      </c>
      <c r="I91" s="6">
        <f t="shared" si="1"/>
        <v>3.84</v>
      </c>
      <c r="J91" s="6"/>
      <c r="K91" s="6"/>
      <c r="L91" s="6">
        <v>3.8</v>
      </c>
    </row>
    <row r="92" spans="1:12" ht="14" x14ac:dyDescent="0.15">
      <c r="A92" s="7" t="s">
        <v>107</v>
      </c>
      <c r="B92" s="31">
        <f t="shared" si="0"/>
        <v>2.5266666666666668</v>
      </c>
      <c r="C92" s="31">
        <f ca="1">IFERROR(__xludf.DUMMYFUNCTION("IFERROR(STDEV.S(FILTER(H92:K92, H92:K92&lt;&gt;"""")))"),2.33675701204325)</f>
        <v>2.3367570120432499</v>
      </c>
      <c r="D92" s="49">
        <v>0.92483786759999997</v>
      </c>
      <c r="F92" s="40"/>
      <c r="G92" s="27">
        <v>4610000</v>
      </c>
      <c r="I92" s="6">
        <f t="shared" si="1"/>
        <v>4.6099999999999994</v>
      </c>
      <c r="J92" s="6"/>
      <c r="K92" s="6">
        <v>0</v>
      </c>
      <c r="L92" s="6">
        <v>2.97</v>
      </c>
    </row>
    <row r="93" spans="1:12" ht="14" x14ac:dyDescent="0.15">
      <c r="A93" s="7" t="s">
        <v>108</v>
      </c>
      <c r="B93" s="31">
        <f t="shared" si="0"/>
        <v>0</v>
      </c>
      <c r="C93" s="31" t="str">
        <f ca="1">IFERROR(__xludf.DUMMYFUNCTION("IFERROR(STDEV.S(FILTER(H93:K93, H93:K93&lt;&gt;"""")))"),"")</f>
        <v/>
      </c>
      <c r="D93" s="49" t="s">
        <v>277</v>
      </c>
      <c r="F93" s="40"/>
      <c r="G93" s="6">
        <v>0</v>
      </c>
      <c r="I93" s="6">
        <f t="shared" si="1"/>
        <v>0</v>
      </c>
      <c r="J93" s="6"/>
      <c r="K93" s="6"/>
    </row>
    <row r="94" spans="1:12" ht="14" x14ac:dyDescent="0.15">
      <c r="A94" s="7" t="s">
        <v>110</v>
      </c>
      <c r="B94" s="31">
        <f t="shared" si="0"/>
        <v>1.29</v>
      </c>
      <c r="C94" s="31">
        <f ca="1">IFERROR(__xludf.DUMMYFUNCTION("IFERROR(STDEV.S(FILTER(H94:K94, H94:K94&lt;&gt;"""")))"),0.0989949493661167)</f>
        <v>9.8994949366116705E-2</v>
      </c>
      <c r="D94" s="49">
        <v>7.6740270829999999E-2</v>
      </c>
      <c r="F94" s="40"/>
      <c r="G94" s="27">
        <v>1220000</v>
      </c>
      <c r="I94" s="6">
        <f t="shared" si="1"/>
        <v>1.22</v>
      </c>
      <c r="J94" s="6"/>
      <c r="K94" s="6"/>
      <c r="L94" s="6">
        <v>1.36</v>
      </c>
    </row>
    <row r="95" spans="1:12" ht="14" x14ac:dyDescent="0.15">
      <c r="A95" s="7" t="s">
        <v>111</v>
      </c>
      <c r="B95" s="31">
        <f t="shared" si="0"/>
        <v>1.0449999999999999</v>
      </c>
      <c r="C95" s="31">
        <f ca="1">IFERROR(__xludf.DUMMYFUNCTION("IFERROR(STDEV.S(FILTER(H95:K95, H95:K95&lt;&gt;"""")))"),0.176776695296636)</f>
        <v>0.17677669529663601</v>
      </c>
      <c r="D95" s="49">
        <v>0.16916430169999999</v>
      </c>
      <c r="F95" s="40"/>
      <c r="G95" s="27">
        <v>1170000</v>
      </c>
      <c r="I95" s="6">
        <f t="shared" si="1"/>
        <v>1.17</v>
      </c>
      <c r="J95" s="6"/>
      <c r="K95" s="6"/>
      <c r="L95" s="6">
        <v>0.92</v>
      </c>
    </row>
    <row r="96" spans="1:12" ht="14" x14ac:dyDescent="0.15">
      <c r="A96" s="7" t="s">
        <v>112</v>
      </c>
      <c r="B96" s="31">
        <f t="shared" si="0"/>
        <v>3.7450000000000001</v>
      </c>
      <c r="C96" s="31">
        <f ca="1">IFERROR(__xludf.DUMMYFUNCTION("IFERROR(STDEV.S(FILTER(H96:K96, H96:K96&lt;&gt;"""")))"),2.48194480196478)</f>
        <v>2.4819448019647798</v>
      </c>
      <c r="D96" s="49">
        <v>0.66273559469999999</v>
      </c>
      <c r="F96" s="40"/>
      <c r="G96" s="27">
        <v>5500000</v>
      </c>
      <c r="I96" s="6">
        <f t="shared" si="1"/>
        <v>5.5</v>
      </c>
      <c r="J96" s="6"/>
      <c r="K96" s="6"/>
      <c r="L96" s="6">
        <v>1.99</v>
      </c>
    </row>
    <row r="97" spans="1:12" ht="14" x14ac:dyDescent="0.15">
      <c r="A97" s="7" t="s">
        <v>113</v>
      </c>
      <c r="B97" s="31">
        <f t="shared" si="0"/>
        <v>0.3666666666666667</v>
      </c>
      <c r="C97" s="31">
        <f ca="1">IFERROR(__xludf.DUMMYFUNCTION("IFERROR(STDEV.S(FILTER(H97:K97, H97:K97&lt;&gt;"""")))"),0.317700068198502)</f>
        <v>0.31770006819850199</v>
      </c>
      <c r="D97" s="49">
        <v>0.86645473149999996</v>
      </c>
      <c r="F97" s="40"/>
      <c r="G97" s="27">
        <v>540000</v>
      </c>
      <c r="I97" s="6">
        <f t="shared" si="1"/>
        <v>0.53999999999999992</v>
      </c>
      <c r="J97" s="6"/>
      <c r="K97" s="6">
        <v>0</v>
      </c>
      <c r="L97" s="6">
        <v>0.56000000000000005</v>
      </c>
    </row>
    <row r="98" spans="1:12" ht="14" x14ac:dyDescent="0.15">
      <c r="A98" s="7" t="s">
        <v>114</v>
      </c>
      <c r="B98" s="31">
        <f t="shared" si="0"/>
        <v>1.095</v>
      </c>
      <c r="C98" s="31">
        <f ca="1">IFERROR(__xludf.DUMMYFUNCTION("IFERROR(STDEV.S(FILTER(H98:K98, H98:K98&lt;&gt;"""")))"),0.431335136523793)</f>
        <v>0.43133513652379302</v>
      </c>
      <c r="D98" s="49">
        <v>0.39391336669999999</v>
      </c>
      <c r="F98" s="40"/>
      <c r="G98" s="27">
        <v>790000</v>
      </c>
      <c r="I98" s="6">
        <f t="shared" si="1"/>
        <v>0.78999999999999992</v>
      </c>
      <c r="J98" s="6"/>
      <c r="K98" s="6"/>
      <c r="L98" s="6">
        <v>1.4</v>
      </c>
    </row>
    <row r="99" spans="1:12" ht="14" x14ac:dyDescent="0.15">
      <c r="A99" s="7" t="s">
        <v>115</v>
      </c>
      <c r="B99" s="31">
        <f t="shared" si="0"/>
        <v>0</v>
      </c>
      <c r="C99" s="31" t="str">
        <f ca="1">IFERROR(__xludf.DUMMYFUNCTION("IFERROR(STDEV.S(FILTER(H99:K99, H99:K99&lt;&gt;"""")))"),"")</f>
        <v/>
      </c>
      <c r="D99" s="49" t="s">
        <v>277</v>
      </c>
      <c r="F99" s="40"/>
      <c r="G99" s="6">
        <v>0</v>
      </c>
      <c r="I99" s="6">
        <f t="shared" si="1"/>
        <v>0</v>
      </c>
      <c r="J99" s="6"/>
      <c r="K99" s="6"/>
    </row>
    <row r="100" spans="1:12" ht="14" x14ac:dyDescent="0.15">
      <c r="A100" s="7" t="s">
        <v>116</v>
      </c>
      <c r="B100" s="31">
        <f t="shared" si="0"/>
        <v>0.16999999999999998</v>
      </c>
      <c r="C100" s="31">
        <f ca="1">IFERROR(__xludf.DUMMYFUNCTION("IFERROR(STDEV.S(FILTER(H100:K100, H100:K100&lt;&gt;"""")))"),0.0565685424949237)</f>
        <v>5.6568542494923699E-2</v>
      </c>
      <c r="D100" s="49">
        <v>0.33275613230000001</v>
      </c>
      <c r="F100" s="40"/>
      <c r="G100" s="27">
        <v>210000</v>
      </c>
      <c r="I100" s="6">
        <f t="shared" si="1"/>
        <v>0.21</v>
      </c>
      <c r="J100" s="6"/>
      <c r="K100" s="6"/>
      <c r="L100" s="6">
        <v>0.13</v>
      </c>
    </row>
    <row r="101" spans="1:12" ht="14" x14ac:dyDescent="0.15">
      <c r="A101" s="7" t="s">
        <v>117</v>
      </c>
      <c r="B101" s="31">
        <f t="shared" si="0"/>
        <v>0.99666666666666659</v>
      </c>
      <c r="C101" s="31">
        <f ca="1">IFERROR(__xludf.DUMMYFUNCTION("IFERROR(STDEV.S(FILTER(H101:K101, H101:K101&lt;&gt;"""")))"),0.868350927524887)</f>
        <v>0.86835092752488696</v>
      </c>
      <c r="D101" s="49">
        <v>0.87125511119999999</v>
      </c>
      <c r="F101" s="40"/>
      <c r="G101" s="27">
        <v>1590000</v>
      </c>
      <c r="I101" s="6">
        <f t="shared" si="1"/>
        <v>1.5899999999999999</v>
      </c>
      <c r="J101" s="6"/>
      <c r="K101" s="6">
        <v>0</v>
      </c>
      <c r="L101" s="6">
        <v>1.4</v>
      </c>
    </row>
    <row r="102" spans="1:12" ht="14" x14ac:dyDescent="0.15">
      <c r="A102" s="7" t="s">
        <v>267</v>
      </c>
      <c r="B102" s="31">
        <f t="shared" si="0"/>
        <v>0</v>
      </c>
      <c r="C102" s="31" t="str">
        <f ca="1">IFERROR(__xludf.DUMMYFUNCTION("IFERROR(STDEV.S(FILTER(H102:K102, H102:K102&lt;&gt;"""")))"),"")</f>
        <v/>
      </c>
      <c r="D102" s="49" t="s">
        <v>277</v>
      </c>
      <c r="F102" s="40"/>
      <c r="G102" s="6">
        <v>0</v>
      </c>
      <c r="I102" s="6">
        <f t="shared" si="1"/>
        <v>0</v>
      </c>
      <c r="J102" s="6"/>
      <c r="K102" s="6"/>
    </row>
    <row r="103" spans="1:12" ht="14" x14ac:dyDescent="0.15">
      <c r="A103" s="7" t="s">
        <v>118</v>
      </c>
      <c r="B103" s="31">
        <f t="shared" si="0"/>
        <v>0.40333333333333332</v>
      </c>
      <c r="C103" s="31">
        <f ca="1">IFERROR(__xludf.DUMMYFUNCTION("IFERROR(STDEV.S(FILTER(H103:K103, H103:K103&lt;&gt;"""")))"),0.350190424388408)</f>
        <v>0.35019042438840797</v>
      </c>
      <c r="D103" s="49">
        <v>0.86824072159999999</v>
      </c>
      <c r="F103" s="40"/>
      <c r="G103" s="27">
        <v>630000</v>
      </c>
      <c r="I103" s="6">
        <f t="shared" si="1"/>
        <v>0.63</v>
      </c>
      <c r="J103" s="6"/>
      <c r="K103" s="6">
        <v>0</v>
      </c>
      <c r="L103" s="6">
        <v>0.57999999999999996</v>
      </c>
    </row>
    <row r="104" spans="1:12" ht="14" x14ac:dyDescent="0.15">
      <c r="A104" s="7" t="s">
        <v>119</v>
      </c>
      <c r="B104" s="31">
        <f t="shared" si="0"/>
        <v>0.37</v>
      </c>
      <c r="C104" s="31">
        <f ca="1">IFERROR(__xludf.DUMMYFUNCTION("IFERROR(STDEV.S(FILTER(H104:K104, H104:K104&lt;&gt;"""")))"),0.0282842712474619)</f>
        <v>2.8284271247461901E-2</v>
      </c>
      <c r="D104" s="49">
        <v>7.6443976339999997E-2</v>
      </c>
      <c r="F104" s="40"/>
      <c r="G104" s="27">
        <v>350000</v>
      </c>
      <c r="I104" s="6">
        <f t="shared" si="1"/>
        <v>0.35</v>
      </c>
      <c r="L104" s="6">
        <v>0.39</v>
      </c>
    </row>
    <row r="105" spans="1:12" ht="14" x14ac:dyDescent="0.15">
      <c r="A105" s="7" t="s">
        <v>121</v>
      </c>
      <c r="B105" s="31">
        <f t="shared" si="0"/>
        <v>5.5E-2</v>
      </c>
      <c r="C105" s="31">
        <f ca="1">IFERROR(__xludf.DUMMYFUNCTION("IFERROR(STDEV.S(FILTER(H105:K105, H105:K105&lt;&gt;"""")))"),0.00707106781186547)</f>
        <v>7.0710678118654701E-3</v>
      </c>
      <c r="D105" s="49">
        <v>0.1285648693</v>
      </c>
      <c r="F105" s="40"/>
      <c r="G105" s="27">
        <v>60000</v>
      </c>
      <c r="I105" s="6">
        <f t="shared" si="1"/>
        <v>0.06</v>
      </c>
      <c r="L105" s="6">
        <v>0.05</v>
      </c>
    </row>
    <row r="106" spans="1:12" ht="14" x14ac:dyDescent="0.15">
      <c r="A106" s="7" t="s">
        <v>122</v>
      </c>
      <c r="B106" s="31">
        <f t="shared" si="0"/>
        <v>0.21</v>
      </c>
      <c r="C106" s="31">
        <f ca="1">IFERROR(__xludf.DUMMYFUNCTION("IFERROR(STDEV.S(FILTER(H106:K106, H106:K106&lt;&gt;"""")))"),0.141421356237309)</f>
        <v>0.141421356237309</v>
      </c>
      <c r="D106" s="49">
        <v>0.67343502970000002</v>
      </c>
      <c r="F106" s="40"/>
      <c r="G106" s="27">
        <v>310000</v>
      </c>
      <c r="I106" s="6">
        <f t="shared" si="1"/>
        <v>0.31</v>
      </c>
      <c r="L106" s="6">
        <v>0.11</v>
      </c>
    </row>
    <row r="107" spans="1:12" ht="14" x14ac:dyDescent="0.15">
      <c r="A107" s="7" t="s">
        <v>123</v>
      </c>
      <c r="B107" s="31">
        <f t="shared" si="0"/>
        <v>6.81</v>
      </c>
      <c r="C107" s="31">
        <f ca="1">IFERROR(__xludf.DUMMYFUNCTION("IFERROR(STDEV.S(FILTER(H107:K107, H107:K107&lt;&gt;"""")))"),5.99842479322696)</f>
        <v>5.9984247932269597</v>
      </c>
      <c r="D107" s="49">
        <v>0.88082596079999997</v>
      </c>
      <c r="F107" s="40"/>
      <c r="G107" s="27">
        <v>11310000</v>
      </c>
      <c r="I107" s="6">
        <f t="shared" si="1"/>
        <v>11.309999999999999</v>
      </c>
      <c r="J107" s="6"/>
      <c r="K107" s="6">
        <v>0</v>
      </c>
      <c r="L107" s="6">
        <v>9.1199999999999992</v>
      </c>
    </row>
    <row r="108" spans="1:12" ht="14" x14ac:dyDescent="0.15">
      <c r="A108" s="7" t="s">
        <v>124</v>
      </c>
      <c r="B108" s="31">
        <f t="shared" si="0"/>
        <v>0</v>
      </c>
      <c r="C108" s="31" t="str">
        <f ca="1">IFERROR(__xludf.DUMMYFUNCTION("IFERROR(STDEV.S(FILTER(H108:K108, H108:K108&lt;&gt;"""")))"),"")</f>
        <v/>
      </c>
      <c r="D108" s="49" t="s">
        <v>277</v>
      </c>
      <c r="F108" s="40"/>
      <c r="G108" s="6">
        <v>0</v>
      </c>
      <c r="I108" s="6">
        <f t="shared" si="1"/>
        <v>0</v>
      </c>
      <c r="J108" s="6"/>
      <c r="K108" s="6"/>
    </row>
    <row r="109" spans="1:12" ht="14" x14ac:dyDescent="0.15">
      <c r="A109" s="7" t="s">
        <v>125</v>
      </c>
      <c r="B109" s="31">
        <f t="shared" si="0"/>
        <v>0.64999999999999991</v>
      </c>
      <c r="C109" s="31">
        <f ca="1">IFERROR(__xludf.DUMMYFUNCTION("IFERROR(STDEV.S(FILTER(H109:K109, H109:K109&lt;&gt;"""")))"),0.0707106781186547)</f>
        <v>7.0710678118654696E-2</v>
      </c>
      <c r="D109" s="49">
        <v>0.1087856586</v>
      </c>
      <c r="F109" s="40"/>
      <c r="G109" s="27">
        <v>700000</v>
      </c>
      <c r="I109" s="6">
        <f t="shared" si="1"/>
        <v>0.7</v>
      </c>
      <c r="J109" s="6"/>
      <c r="K109" s="6"/>
      <c r="L109" s="6">
        <v>0.6</v>
      </c>
    </row>
    <row r="110" spans="1:12" ht="14" x14ac:dyDescent="0.15">
      <c r="A110" s="7" t="s">
        <v>126</v>
      </c>
      <c r="B110" s="31">
        <f t="shared" si="0"/>
        <v>0</v>
      </c>
      <c r="C110" s="31" t="str">
        <f ca="1">IFERROR(__xludf.DUMMYFUNCTION("IFERROR(STDEV.S(FILTER(H110:K110, H110:K110&lt;&gt;"""")))"),"")</f>
        <v/>
      </c>
      <c r="D110" s="49" t="s">
        <v>277</v>
      </c>
      <c r="F110" s="40"/>
      <c r="G110" s="6">
        <v>0</v>
      </c>
      <c r="I110" s="6">
        <f t="shared" si="1"/>
        <v>0</v>
      </c>
      <c r="J110" s="6"/>
      <c r="K110" s="6"/>
    </row>
    <row r="111" spans="1:12" ht="28" x14ac:dyDescent="0.15">
      <c r="A111" s="7" t="s">
        <v>268</v>
      </c>
      <c r="B111" s="31">
        <f t="shared" si="0"/>
        <v>0</v>
      </c>
      <c r="C111" s="31" t="str">
        <f ca="1">IFERROR(__xludf.DUMMYFUNCTION("IFERROR(STDEV.S(FILTER(H111:K111, H111:K111&lt;&gt;"""")))"),"")</f>
        <v/>
      </c>
      <c r="D111" s="49" t="s">
        <v>277</v>
      </c>
      <c r="F111" s="40"/>
      <c r="G111" s="6">
        <v>0</v>
      </c>
      <c r="I111" s="6">
        <f t="shared" si="1"/>
        <v>0</v>
      </c>
      <c r="J111" s="6"/>
      <c r="K111" s="6"/>
    </row>
    <row r="112" spans="1:12" ht="14" x14ac:dyDescent="0.15">
      <c r="A112" s="7" t="s">
        <v>127</v>
      </c>
      <c r="B112" s="31">
        <f t="shared" si="0"/>
        <v>0</v>
      </c>
      <c r="C112" s="31" t="str">
        <f ca="1">IFERROR(__xludf.DUMMYFUNCTION("IFERROR(STDEV.S(FILTER(H112:K112, H112:K112&lt;&gt;"""")))"),"")</f>
        <v/>
      </c>
      <c r="D112" s="49" t="s">
        <v>277</v>
      </c>
      <c r="F112" s="40"/>
      <c r="G112" s="6">
        <v>0</v>
      </c>
      <c r="I112" s="6">
        <f t="shared" si="1"/>
        <v>0</v>
      </c>
      <c r="J112" s="6"/>
      <c r="K112" s="6"/>
    </row>
    <row r="113" spans="1:12" ht="14" x14ac:dyDescent="0.15">
      <c r="A113" s="7" t="s">
        <v>128</v>
      </c>
      <c r="B113" s="31">
        <f t="shared" si="0"/>
        <v>0</v>
      </c>
      <c r="C113" s="31" t="str">
        <f ca="1">IFERROR(__xludf.DUMMYFUNCTION("IFERROR(STDEV.S(FILTER(H113:K113, H113:K113&lt;&gt;"""")))"),"")</f>
        <v/>
      </c>
      <c r="D113" s="49" t="s">
        <v>277</v>
      </c>
      <c r="F113" s="40"/>
      <c r="G113" s="6">
        <v>0</v>
      </c>
      <c r="I113" s="6">
        <f t="shared" si="1"/>
        <v>0</v>
      </c>
      <c r="J113" s="6"/>
      <c r="K113" s="6"/>
    </row>
    <row r="114" spans="1:12" ht="14" x14ac:dyDescent="0.15">
      <c r="A114" s="7" t="s">
        <v>129</v>
      </c>
      <c r="B114" s="31">
        <f t="shared" si="0"/>
        <v>19.484999999999999</v>
      </c>
      <c r="C114" s="31">
        <f ca="1">IFERROR(__xludf.DUMMYFUNCTION("IFERROR(STDEV.S(FILTER(H114:K114, H114:K114&lt;&gt;"""")))"),0.106066017177981)</f>
        <v>0.106066017177981</v>
      </c>
      <c r="D114" s="49">
        <v>5.4434702170000002E-3</v>
      </c>
      <c r="F114" s="40"/>
      <c r="G114" s="27">
        <v>19560000</v>
      </c>
      <c r="I114" s="6">
        <f t="shared" si="1"/>
        <v>19.559999999999999</v>
      </c>
      <c r="J114" s="6"/>
      <c r="K114" s="6"/>
      <c r="L114" s="6">
        <v>19.41</v>
      </c>
    </row>
    <row r="115" spans="1:12" ht="14" x14ac:dyDescent="0.15">
      <c r="A115" s="7" t="s">
        <v>230</v>
      </c>
      <c r="B115" s="31">
        <f t="shared" si="0"/>
        <v>0</v>
      </c>
      <c r="C115" s="31" t="str">
        <f ca="1">IFERROR(__xludf.DUMMYFUNCTION("IFERROR(STDEV.S(FILTER(H115:K115, H115:K115&lt;&gt;"""")))"),"")</f>
        <v/>
      </c>
      <c r="D115" s="49" t="s">
        <v>277</v>
      </c>
      <c r="F115" s="40"/>
      <c r="G115" s="6">
        <v>0</v>
      </c>
      <c r="I115" s="6">
        <f t="shared" si="1"/>
        <v>0</v>
      </c>
      <c r="J115" s="6"/>
      <c r="K115" s="6"/>
    </row>
    <row r="116" spans="1:12" ht="14" x14ac:dyDescent="0.15">
      <c r="A116" s="7" t="s">
        <v>130</v>
      </c>
      <c r="B116" s="31">
        <f t="shared" si="0"/>
        <v>0.62</v>
      </c>
      <c r="C116" s="31">
        <f ca="1">IFERROR(__xludf.DUMMYFUNCTION("IFERROR(STDEV.S(FILTER(H116:K116, H116:K116&lt;&gt;"""")))"),0.0282842712474619)</f>
        <v>2.8284271247461901E-2</v>
      </c>
      <c r="D116" s="49">
        <v>4.5619792329999999E-2</v>
      </c>
      <c r="F116" s="40"/>
      <c r="G116" s="27">
        <v>600000</v>
      </c>
      <c r="I116" s="6">
        <f t="shared" si="1"/>
        <v>0.6</v>
      </c>
      <c r="J116" s="6"/>
      <c r="K116" s="6"/>
      <c r="L116" s="6">
        <v>0.64</v>
      </c>
    </row>
    <row r="117" spans="1:12" ht="13" x14ac:dyDescent="0.15">
      <c r="A117" s="6" t="s">
        <v>131</v>
      </c>
      <c r="B117" s="31">
        <f t="shared" si="0"/>
        <v>0.53</v>
      </c>
      <c r="C117" s="31">
        <f ca="1">IFERROR(__xludf.DUMMYFUNCTION("IFERROR(STDEV.S(FILTER(H117:K117, H117:K117&lt;&gt;"""")))"),0.0565685424949238)</f>
        <v>5.6568542494923803E-2</v>
      </c>
      <c r="D117" s="49">
        <v>0.106733099</v>
      </c>
      <c r="F117" s="40"/>
      <c r="G117" s="27">
        <v>570000</v>
      </c>
      <c r="I117" s="6">
        <f t="shared" si="1"/>
        <v>0.56999999999999995</v>
      </c>
      <c r="J117" s="6"/>
      <c r="K117" s="6"/>
      <c r="L117" s="6">
        <v>0.49</v>
      </c>
    </row>
    <row r="118" spans="1:12" ht="14" x14ac:dyDescent="0.15">
      <c r="A118" s="7" t="s">
        <v>132</v>
      </c>
      <c r="B118" s="31" t="str">
        <f t="shared" si="0"/>
        <v/>
      </c>
      <c r="C118" s="31" t="str">
        <f ca="1">IFERROR(__xludf.DUMMYFUNCTION("IFERROR(STDEV.S(FILTER(H118:K118, H118:K118&lt;&gt;"""")))"),"")</f>
        <v/>
      </c>
      <c r="D118" s="49" t="s">
        <v>277</v>
      </c>
      <c r="F118" s="40"/>
      <c r="I118" s="6" t="str">
        <f t="shared" si="1"/>
        <v/>
      </c>
      <c r="J118" s="6"/>
      <c r="K118" s="6"/>
    </row>
    <row r="119" spans="1:12" ht="14" x14ac:dyDescent="0.15">
      <c r="A119" s="7" t="s">
        <v>134</v>
      </c>
      <c r="B119" s="31">
        <f t="shared" si="0"/>
        <v>5.0549999999999997</v>
      </c>
      <c r="C119" s="31">
        <f ca="1">IFERROR(__xludf.DUMMYFUNCTION("IFERROR(STDEV.S(FILTER(H119:K119, H119:K119&lt;&gt;"""")))"),0.0777817459305198)</f>
        <v>7.7781745930519799E-2</v>
      </c>
      <c r="D119" s="49">
        <v>1.538709118E-2</v>
      </c>
      <c r="F119" s="40"/>
      <c r="G119" s="27">
        <v>5110000</v>
      </c>
      <c r="I119" s="6">
        <f t="shared" si="1"/>
        <v>5.1099999999999994</v>
      </c>
      <c r="J119" s="6"/>
      <c r="K119" s="6"/>
      <c r="L119" s="6">
        <v>5</v>
      </c>
    </row>
    <row r="120" spans="1:12" ht="14" x14ac:dyDescent="0.15">
      <c r="A120" s="7" t="s">
        <v>135</v>
      </c>
      <c r="B120" s="31">
        <f t="shared" si="0"/>
        <v>1.105</v>
      </c>
      <c r="C120" s="31">
        <f ca="1">IFERROR(__xludf.DUMMYFUNCTION("IFERROR(STDEV.S(FILTER(H120:K120, H120:K120&lt;&gt;"""")))"),0.0777817459305201)</f>
        <v>7.7781745930520105E-2</v>
      </c>
      <c r="D120" s="49">
        <v>7.0390720300000001E-2</v>
      </c>
      <c r="F120" s="40"/>
      <c r="G120" s="27">
        <v>1160000</v>
      </c>
      <c r="I120" s="6">
        <f t="shared" si="1"/>
        <v>1.1599999999999999</v>
      </c>
      <c r="J120" s="6"/>
      <c r="K120" s="6"/>
      <c r="L120" s="6">
        <v>1.05</v>
      </c>
    </row>
    <row r="121" spans="1:12" ht="14" x14ac:dyDescent="0.15">
      <c r="A121" s="7" t="s">
        <v>136</v>
      </c>
      <c r="B121" s="31">
        <f t="shared" si="0"/>
        <v>2.2549999999999999</v>
      </c>
      <c r="C121" s="31">
        <f ca="1">IFERROR(__xludf.DUMMYFUNCTION("IFERROR(STDEV.S(FILTER(H121:K121, H121:K121&lt;&gt;"""")))"),0.431335136523793)</f>
        <v>0.43133513652379302</v>
      </c>
      <c r="D121" s="49">
        <v>0.1912794397</v>
      </c>
      <c r="F121" s="40"/>
      <c r="G121" s="27">
        <v>2560000</v>
      </c>
      <c r="I121" s="6">
        <f t="shared" si="1"/>
        <v>2.56</v>
      </c>
      <c r="J121" s="6"/>
      <c r="K121" s="6"/>
      <c r="L121" s="6">
        <v>1.95</v>
      </c>
    </row>
    <row r="122" spans="1:12" ht="14" x14ac:dyDescent="0.15">
      <c r="A122" s="7" t="s">
        <v>137</v>
      </c>
      <c r="B122" s="31">
        <f t="shared" si="0"/>
        <v>0.51</v>
      </c>
      <c r="C122" s="31">
        <f ca="1">IFERROR(__xludf.DUMMYFUNCTION("IFERROR(STDEV.S(FILTER(H122:K122, H122:K122&lt;&gt;"""")))"),0.0141421356237309)</f>
        <v>1.41421356237309E-2</v>
      </c>
      <c r="D122" s="49">
        <v>2.7729677689999999E-2</v>
      </c>
      <c r="F122" s="40"/>
      <c r="G122" s="27">
        <v>500000</v>
      </c>
      <c r="I122" s="6">
        <f t="shared" si="1"/>
        <v>0.5</v>
      </c>
      <c r="J122" s="6"/>
      <c r="K122" s="6"/>
      <c r="L122" s="6">
        <v>0.52</v>
      </c>
    </row>
    <row r="123" spans="1:12" ht="14" x14ac:dyDescent="0.15">
      <c r="A123" s="7" t="s">
        <v>138</v>
      </c>
      <c r="B123" s="31">
        <f t="shared" si="0"/>
        <v>0</v>
      </c>
      <c r="C123" s="31" t="str">
        <f ca="1">IFERROR(__xludf.DUMMYFUNCTION("IFERROR(STDEV.S(FILTER(H123:K123, H123:K123&lt;&gt;"""")))"),"")</f>
        <v/>
      </c>
      <c r="D123" s="49" t="s">
        <v>277</v>
      </c>
      <c r="F123" s="40"/>
      <c r="G123" s="6">
        <v>0</v>
      </c>
      <c r="I123" s="6">
        <f t="shared" si="1"/>
        <v>0</v>
      </c>
      <c r="J123" s="6"/>
      <c r="K123" s="6"/>
    </row>
    <row r="124" spans="1:12" ht="14" x14ac:dyDescent="0.15">
      <c r="A124" s="7" t="s">
        <v>139</v>
      </c>
      <c r="B124" s="31">
        <f t="shared" si="0"/>
        <v>3.5999999999999996</v>
      </c>
      <c r="C124" s="31">
        <f ca="1">IFERROR(__xludf.DUMMYFUNCTION("IFERROR(STDEV.S(FILTER(H124:K124, H124:K124&lt;&gt;"""")))"),0.226274169979695)</f>
        <v>0.22627416997969499</v>
      </c>
      <c r="D124" s="49">
        <v>6.2853936109999994E-2</v>
      </c>
      <c r="F124" s="40"/>
      <c r="G124" s="27">
        <v>3440000</v>
      </c>
      <c r="I124" s="6">
        <f t="shared" si="1"/>
        <v>3.44</v>
      </c>
      <c r="J124" s="6"/>
      <c r="K124" s="6"/>
      <c r="L124" s="6">
        <v>3.76</v>
      </c>
    </row>
    <row r="125" spans="1:12" ht="14" x14ac:dyDescent="0.15">
      <c r="A125" s="7" t="s">
        <v>140</v>
      </c>
      <c r="B125" s="31">
        <f t="shared" si="0"/>
        <v>0.27</v>
      </c>
      <c r="C125" s="31">
        <f ca="1">IFERROR(__xludf.DUMMYFUNCTION("IFERROR(STDEV.S(FILTER(H125:K125, H125:K125&lt;&gt;"""")))"),0.45902069670114)</f>
        <v>0.45902069670113999</v>
      </c>
      <c r="D125" s="49">
        <v>1.7000766540000001</v>
      </c>
      <c r="F125" s="40"/>
      <c r="G125" s="6">
        <v>0</v>
      </c>
      <c r="I125" s="6">
        <f t="shared" si="1"/>
        <v>0</v>
      </c>
      <c r="J125" s="6"/>
      <c r="K125" s="6">
        <v>0.8</v>
      </c>
      <c r="L125" s="6">
        <v>0.01</v>
      </c>
    </row>
    <row r="126" spans="1:12" ht="28" x14ac:dyDescent="0.15">
      <c r="A126" s="7" t="s">
        <v>154</v>
      </c>
      <c r="B126" s="31">
        <f t="shared" si="0"/>
        <v>0</v>
      </c>
      <c r="C126" s="31">
        <f ca="1">IFERROR(__xludf.DUMMYFUNCTION("IFERROR(STDEV.S(FILTER(H126:K126, H126:K126&lt;&gt;"""")))"),0)</f>
        <v>0</v>
      </c>
      <c r="D126" s="49" t="s">
        <v>277</v>
      </c>
      <c r="F126" s="40"/>
      <c r="G126" s="6">
        <v>0</v>
      </c>
      <c r="I126" s="6">
        <f t="shared" si="1"/>
        <v>0</v>
      </c>
      <c r="J126" s="6"/>
      <c r="K126" s="6">
        <v>0</v>
      </c>
    </row>
    <row r="127" spans="1:12" ht="14" x14ac:dyDescent="0.15">
      <c r="A127" s="7" t="s">
        <v>142</v>
      </c>
      <c r="B127" s="31">
        <f t="shared" si="0"/>
        <v>1.36</v>
      </c>
      <c r="C127" s="31">
        <f ca="1">IFERROR(__xludf.DUMMYFUNCTION("IFERROR(STDEV.S(FILTER(H127:K127, H127:K127&lt;&gt;"""")))"),1.68020832041744)</f>
        <v>1.6802083204174401</v>
      </c>
      <c r="D127" s="49">
        <v>1.2354472940000001</v>
      </c>
      <c r="F127" s="40"/>
      <c r="G127" s="27">
        <v>370000</v>
      </c>
      <c r="I127" s="6">
        <f t="shared" si="1"/>
        <v>0.37</v>
      </c>
      <c r="J127" s="6"/>
      <c r="K127" s="6">
        <v>3.3</v>
      </c>
      <c r="L127" s="6">
        <v>0.41</v>
      </c>
    </row>
    <row r="128" spans="1:12" ht="14" x14ac:dyDescent="0.15">
      <c r="A128" s="7" t="s">
        <v>143</v>
      </c>
      <c r="B128" s="31">
        <f t="shared" si="0"/>
        <v>0.21</v>
      </c>
      <c r="C128" s="31">
        <f ca="1">IFERROR(__xludf.DUMMYFUNCTION("IFERROR(STDEV.S(FILTER(H128:K128, H128:K128&lt;&gt;"""")))"),0.0141421356237309)</f>
        <v>1.41421356237309E-2</v>
      </c>
      <c r="D128" s="49">
        <v>6.7343502969999997E-2</v>
      </c>
      <c r="E128" s="6"/>
      <c r="F128" s="40"/>
      <c r="G128" s="27">
        <v>200000</v>
      </c>
      <c r="I128" s="6">
        <f t="shared" si="1"/>
        <v>0.19999999999999998</v>
      </c>
      <c r="J128" s="6"/>
      <c r="K128" s="6"/>
      <c r="L128" s="6">
        <v>0.22</v>
      </c>
    </row>
    <row r="129" spans="1:12" ht="14" x14ac:dyDescent="0.15">
      <c r="A129" s="7" t="s">
        <v>144</v>
      </c>
      <c r="B129" s="31">
        <f t="shared" si="0"/>
        <v>3.5000000000000003E-2</v>
      </c>
      <c r="C129" s="31">
        <f ca="1">IFERROR(__xludf.DUMMYFUNCTION("IFERROR(STDEV.S(FILTER(H129:K129, H129:K129&lt;&gt;"""")))"),0.00707106781186547)</f>
        <v>7.0710678118654701E-3</v>
      </c>
      <c r="D129" s="49">
        <v>0.20203050889999999</v>
      </c>
      <c r="E129" s="6"/>
      <c r="F129" s="40"/>
      <c r="G129" s="27">
        <v>40000</v>
      </c>
      <c r="I129" s="6">
        <f t="shared" si="1"/>
        <v>0.04</v>
      </c>
      <c r="J129" s="6"/>
      <c r="K129" s="6"/>
      <c r="L129" s="6">
        <v>0.03</v>
      </c>
    </row>
    <row r="130" spans="1:12" ht="14" x14ac:dyDescent="0.15">
      <c r="A130" s="7" t="s">
        <v>145</v>
      </c>
      <c r="B130" s="31">
        <f t="shared" si="0"/>
        <v>10.074999999999999</v>
      </c>
      <c r="C130" s="31">
        <f ca="1">IFERROR(__xludf.DUMMYFUNCTION("IFERROR(STDEV.S(FILTER(H130:K130, H130:K130&lt;&gt;"""")))"),1.64755880016465)</f>
        <v>1.64755880016465</v>
      </c>
      <c r="D130" s="49">
        <v>0.16352940939999999</v>
      </c>
      <c r="E130" s="6"/>
      <c r="F130" s="40"/>
      <c r="G130" s="27">
        <v>11240000</v>
      </c>
      <c r="I130" s="6">
        <f t="shared" si="1"/>
        <v>11.24</v>
      </c>
      <c r="J130" s="6"/>
      <c r="K130" s="6"/>
      <c r="L130" s="6">
        <v>8.91</v>
      </c>
    </row>
    <row r="131" spans="1:12" ht="14" x14ac:dyDescent="0.15">
      <c r="A131" s="7" t="s">
        <v>146</v>
      </c>
      <c r="B131" s="31">
        <f t="shared" si="0"/>
        <v>0</v>
      </c>
      <c r="C131" s="31" t="str">
        <f ca="1">IFERROR(__xludf.DUMMYFUNCTION("IFERROR(STDEV.S(FILTER(H131:K131, H131:K131&lt;&gt;"""")))"),"")</f>
        <v/>
      </c>
      <c r="D131" s="49" t="s">
        <v>277</v>
      </c>
      <c r="E131" s="6"/>
      <c r="F131" s="40"/>
      <c r="G131" s="6">
        <v>0</v>
      </c>
      <c r="I131" s="6">
        <f t="shared" si="1"/>
        <v>0</v>
      </c>
      <c r="J131" s="6"/>
      <c r="K131" s="6"/>
    </row>
    <row r="132" spans="1:12" ht="14" x14ac:dyDescent="0.15">
      <c r="A132" s="7" t="s">
        <v>147</v>
      </c>
      <c r="B132" s="31">
        <f t="shared" si="0"/>
        <v>2.2050000000000001</v>
      </c>
      <c r="C132" s="31">
        <f ca="1">IFERROR(__xludf.DUMMYFUNCTION("IFERROR(STDEV.S(FILTER(H132:K132, H132:K132&lt;&gt;"""")))"),0.0919238815542511)</f>
        <v>9.1923881554251102E-2</v>
      </c>
      <c r="D132" s="49">
        <v>4.1688835170000001E-2</v>
      </c>
      <c r="E132" s="6"/>
      <c r="F132" s="40"/>
      <c r="G132" s="27">
        <v>2270000</v>
      </c>
      <c r="I132" s="6">
        <f t="shared" si="1"/>
        <v>2.27</v>
      </c>
      <c r="J132" s="6"/>
      <c r="K132" s="6"/>
      <c r="L132" s="6">
        <v>2.14</v>
      </c>
    </row>
    <row r="133" spans="1:12" ht="28" x14ac:dyDescent="0.15">
      <c r="A133" s="7" t="s">
        <v>148</v>
      </c>
      <c r="B133" s="31" t="str">
        <f t="shared" si="0"/>
        <v/>
      </c>
      <c r="C133" s="31" t="str">
        <f ca="1">IFERROR(__xludf.DUMMYFUNCTION("IFERROR(STDEV.S(FILTER(H133:K133, H133:K133&lt;&gt;"""")))"),"")</f>
        <v/>
      </c>
      <c r="D133" s="49" t="s">
        <v>277</v>
      </c>
      <c r="E133" s="6"/>
      <c r="F133" s="40"/>
      <c r="I133" s="6" t="str">
        <f t="shared" si="1"/>
        <v/>
      </c>
      <c r="J133" s="6"/>
      <c r="K133" s="6"/>
    </row>
    <row r="134" spans="1:12" ht="14" x14ac:dyDescent="0.15">
      <c r="A134" s="7" t="s">
        <v>149</v>
      </c>
      <c r="B134" s="31">
        <f t="shared" si="0"/>
        <v>1.2049999999999998</v>
      </c>
      <c r="C134" s="31">
        <f ca="1">IFERROR(__xludf.DUMMYFUNCTION("IFERROR(STDEV.S(FILTER(H134:K134, H134:K134&lt;&gt;"""")))"),0.571635081731926)</f>
        <v>0.57163508173192601</v>
      </c>
      <c r="D134" s="49">
        <v>0.47438595989999999</v>
      </c>
      <c r="E134" s="6"/>
      <c r="F134" s="40">
        <v>1.7</v>
      </c>
      <c r="G134" s="27">
        <v>700000</v>
      </c>
      <c r="I134" s="6">
        <f t="shared" si="1"/>
        <v>0.7</v>
      </c>
      <c r="J134" s="6">
        <v>1.7</v>
      </c>
      <c r="K134" s="6">
        <v>1.7</v>
      </c>
      <c r="L134" s="6">
        <v>0.72</v>
      </c>
    </row>
    <row r="135" spans="1:12" ht="14" x14ac:dyDescent="0.15">
      <c r="A135" s="7" t="s">
        <v>150</v>
      </c>
      <c r="B135" s="31">
        <f t="shared" si="0"/>
        <v>1.3933333333333333</v>
      </c>
      <c r="C135" s="31">
        <f ca="1">IFERROR(__xludf.DUMMYFUNCTION("IFERROR(STDEV.S(FILTER(H135:K135, H135:K135&lt;&gt;"""")))"),1.21722361681546)</f>
        <v>1.21722361681546</v>
      </c>
      <c r="D135" s="49">
        <v>0.87360546660000005</v>
      </c>
      <c r="F135" s="40"/>
      <c r="G135" s="27">
        <v>2250000</v>
      </c>
      <c r="I135" s="6">
        <f t="shared" si="1"/>
        <v>2.25</v>
      </c>
      <c r="J135" s="6"/>
      <c r="K135" s="6">
        <v>0</v>
      </c>
      <c r="L135" s="6">
        <v>1.93</v>
      </c>
    </row>
    <row r="136" spans="1:12" ht="14" x14ac:dyDescent="0.15">
      <c r="A136" s="7" t="s">
        <v>151</v>
      </c>
      <c r="B136" s="31">
        <f t="shared" si="0"/>
        <v>17.029999999999998</v>
      </c>
      <c r="C136" s="31">
        <f ca="1">IFERROR(__xludf.DUMMYFUNCTION("IFERROR(STDEV.S(FILTER(H136:K136, H136:K136&lt;&gt;"""")))"),2.24859956417321)</f>
        <v>2.2485995641732099</v>
      </c>
      <c r="D136" s="49">
        <v>0.13203755510000001</v>
      </c>
      <c r="F136" s="40"/>
      <c r="G136" s="27">
        <v>18620000</v>
      </c>
      <c r="I136" s="6">
        <f t="shared" si="1"/>
        <v>18.619999999999997</v>
      </c>
      <c r="J136" s="6"/>
      <c r="K136" s="6"/>
      <c r="L136" s="6">
        <v>15.44</v>
      </c>
    </row>
    <row r="137" spans="1:12" ht="14" x14ac:dyDescent="0.15">
      <c r="A137" s="7" t="s">
        <v>269</v>
      </c>
      <c r="B137" s="31">
        <f t="shared" si="0"/>
        <v>0</v>
      </c>
      <c r="C137" s="31" t="str">
        <f ca="1">IFERROR(__xludf.DUMMYFUNCTION("IFERROR(STDEV.S(FILTER(H137:K137, H137:K137&lt;&gt;"""")))"),"")</f>
        <v/>
      </c>
      <c r="D137" s="49" t="s">
        <v>277</v>
      </c>
      <c r="F137" s="40"/>
      <c r="G137" s="6">
        <v>0</v>
      </c>
      <c r="I137" s="6">
        <f t="shared" si="1"/>
        <v>0</v>
      </c>
      <c r="J137" s="6"/>
      <c r="K137" s="6"/>
    </row>
    <row r="138" spans="1:12" ht="14" x14ac:dyDescent="0.15">
      <c r="A138" s="7" t="s">
        <v>153</v>
      </c>
      <c r="B138" s="31">
        <f t="shared" si="0"/>
        <v>0.42500000000000004</v>
      </c>
      <c r="C138" s="31">
        <f ca="1">IFERROR(__xludf.DUMMYFUNCTION("IFERROR(STDEV.S(FILTER(H138:K138, H138:K138&lt;&gt;"""")))"),0.148492424049174)</f>
        <v>0.14849242404917401</v>
      </c>
      <c r="D138" s="49">
        <v>0.34939393889999998</v>
      </c>
      <c r="F138" s="40"/>
      <c r="G138" s="27">
        <v>320000</v>
      </c>
      <c r="I138" s="6">
        <f t="shared" si="1"/>
        <v>0.32</v>
      </c>
      <c r="J138" s="6"/>
      <c r="K138" s="6"/>
      <c r="L138" s="6">
        <v>0.53</v>
      </c>
    </row>
    <row r="139" spans="1:12" ht="14" x14ac:dyDescent="0.15">
      <c r="A139" s="7" t="s">
        <v>155</v>
      </c>
      <c r="B139" s="31">
        <f t="shared" si="0"/>
        <v>0.3</v>
      </c>
      <c r="C139" s="31">
        <f ca="1">IFERROR(__xludf.DUMMYFUNCTION("IFERROR(STDEV.S(FILTER(H139:K139, H139:K139&lt;&gt;"""")))"),0)</f>
        <v>0</v>
      </c>
      <c r="D139" s="49">
        <v>0</v>
      </c>
      <c r="F139" s="40"/>
      <c r="G139" s="27">
        <v>300000</v>
      </c>
      <c r="I139" s="6">
        <f t="shared" si="1"/>
        <v>0.3</v>
      </c>
      <c r="J139" s="6"/>
      <c r="K139" s="6"/>
      <c r="L139" s="6">
        <v>0.3</v>
      </c>
    </row>
    <row r="140" spans="1:12" ht="14" x14ac:dyDescent="0.15">
      <c r="A140" s="7" t="s">
        <v>156</v>
      </c>
      <c r="B140" s="31">
        <f t="shared" si="0"/>
        <v>5.0399999999999991</v>
      </c>
      <c r="C140" s="31">
        <f ca="1">IFERROR(__xludf.DUMMYFUNCTION("IFERROR(STDEV.S(FILTER(H140:K140, H140:K140&lt;&gt;"""")))"),0.692964645562815)</f>
        <v>0.69296464556281501</v>
      </c>
      <c r="D140" s="49">
        <v>0.1374929852</v>
      </c>
      <c r="F140" s="40"/>
      <c r="G140" s="27">
        <v>5530000</v>
      </c>
      <c r="I140" s="6">
        <f t="shared" si="1"/>
        <v>5.5299999999999994</v>
      </c>
      <c r="J140" s="6"/>
      <c r="K140" s="6"/>
      <c r="L140" s="6">
        <v>4.55</v>
      </c>
    </row>
    <row r="141" spans="1:12" ht="14" x14ac:dyDescent="0.15">
      <c r="A141" s="7" t="s">
        <v>157</v>
      </c>
      <c r="B141" s="31">
        <f t="shared" si="0"/>
        <v>10.465</v>
      </c>
      <c r="C141" s="31">
        <f ca="1">IFERROR(__xludf.DUMMYFUNCTION("IFERROR(STDEV.S(FILTER(H141:K141, H141:K141&lt;&gt;"""")))"),0.190918830920367)</f>
        <v>0.19091883092036699</v>
      </c>
      <c r="D141" s="49">
        <v>1.824355766E-2</v>
      </c>
      <c r="F141" s="40"/>
      <c r="G141" s="27">
        <v>10330000</v>
      </c>
      <c r="I141" s="6">
        <f t="shared" si="1"/>
        <v>10.33</v>
      </c>
      <c r="J141" s="6"/>
      <c r="K141" s="6"/>
      <c r="L141" s="6">
        <v>10.6</v>
      </c>
    </row>
    <row r="142" spans="1:12" ht="14" x14ac:dyDescent="0.15">
      <c r="A142" s="7" t="s">
        <v>158</v>
      </c>
      <c r="B142" s="31">
        <f t="shared" si="0"/>
        <v>5.0200000000000005</v>
      </c>
      <c r="C142" s="31">
        <f ca="1">IFERROR(__xludf.DUMMYFUNCTION("IFERROR(STDEV.S(FILTER(H142:K142, H142:K142&lt;&gt;"""")))"),4.3503907870443)</f>
        <v>4.3503907870442999</v>
      </c>
      <c r="D142" s="49">
        <v>0.86661171059999997</v>
      </c>
      <c r="F142" s="40"/>
      <c r="G142" s="27">
        <v>7370000</v>
      </c>
      <c r="I142" s="6">
        <f t="shared" si="1"/>
        <v>7.37</v>
      </c>
      <c r="J142" s="6"/>
      <c r="K142" s="6">
        <v>0</v>
      </c>
      <c r="L142" s="6">
        <v>7.69</v>
      </c>
    </row>
    <row r="143" spans="1:12" ht="14" x14ac:dyDescent="0.15">
      <c r="A143" s="7" t="s">
        <v>159</v>
      </c>
      <c r="B143" s="31">
        <f t="shared" si="0"/>
        <v>2.17</v>
      </c>
      <c r="C143" s="31">
        <f ca="1">IFERROR(__xludf.DUMMYFUNCTION("IFERROR(STDEV.S(FILTER(H143:K143, H143:K143&lt;&gt;"""")))"),0.0848528137423857)</f>
        <v>8.4852813742385694E-2</v>
      </c>
      <c r="D143" s="49">
        <v>3.9102679139999999E-2</v>
      </c>
      <c r="E143" s="6"/>
      <c r="F143" s="40"/>
      <c r="G143" s="27">
        <v>2110000</v>
      </c>
      <c r="I143" s="6">
        <f t="shared" si="1"/>
        <v>2.11</v>
      </c>
      <c r="J143" s="6"/>
      <c r="K143" s="6"/>
      <c r="L143" s="6">
        <v>2.23</v>
      </c>
    </row>
    <row r="144" spans="1:12" ht="14" x14ac:dyDescent="0.15">
      <c r="A144" s="7" t="s">
        <v>161</v>
      </c>
      <c r="B144" s="31">
        <f t="shared" si="0"/>
        <v>1.8774999999999999</v>
      </c>
      <c r="C144" s="31">
        <f ca="1">IFERROR(__xludf.DUMMYFUNCTION("IFERROR(STDEV.S(FILTER(H144:K144, H144:K144&lt;&gt;"""")))"),0.381433698913279)</f>
        <v>0.381433698913279</v>
      </c>
      <c r="D144" s="49">
        <v>0.20316042549999999</v>
      </c>
      <c r="E144" s="6"/>
      <c r="F144" s="40">
        <v>2.2000000000000002</v>
      </c>
      <c r="G144" s="27">
        <v>1540000</v>
      </c>
      <c r="I144" s="6">
        <f t="shared" si="1"/>
        <v>1.54</v>
      </c>
      <c r="J144" s="6">
        <v>2.2999999999999998</v>
      </c>
      <c r="K144" s="6">
        <v>2.1</v>
      </c>
      <c r="L144" s="6">
        <v>1.57</v>
      </c>
    </row>
    <row r="145" spans="1:12" ht="14" x14ac:dyDescent="0.15">
      <c r="A145" s="7" t="s">
        <v>162</v>
      </c>
      <c r="B145" s="31">
        <f t="shared" si="0"/>
        <v>3.895</v>
      </c>
      <c r="C145" s="31">
        <f ca="1">IFERROR(__xludf.DUMMYFUNCTION("IFERROR(STDEV.S(FILTER(H145:K145, H145:K145&lt;&gt;"""")))"),0.0919238815542511)</f>
        <v>9.1923881554251102E-2</v>
      </c>
      <c r="D145" s="49">
        <v>2.3600483070000001E-2</v>
      </c>
      <c r="F145" s="40"/>
      <c r="G145" s="27">
        <v>3960000</v>
      </c>
      <c r="I145" s="6">
        <f t="shared" si="1"/>
        <v>3.96</v>
      </c>
      <c r="J145" s="6"/>
      <c r="L145" s="6">
        <v>3.83</v>
      </c>
    </row>
    <row r="146" spans="1:12" ht="14" x14ac:dyDescent="0.15">
      <c r="A146" s="7" t="s">
        <v>163</v>
      </c>
      <c r="B146" s="31">
        <f t="shared" si="0"/>
        <v>14.29</v>
      </c>
      <c r="C146" s="31">
        <f ca="1">IFERROR(__xludf.DUMMYFUNCTION("IFERROR(STDEV.S(FILTER(H146:K146, H146:K146&lt;&gt;"""")))"),12.0646052567002)</f>
        <v>12.064605256700199</v>
      </c>
      <c r="D146" s="49">
        <v>0.84426908720000005</v>
      </c>
      <c r="F146" s="40"/>
      <c r="G146" s="27">
        <v>22160000</v>
      </c>
      <c r="I146" s="6">
        <f t="shared" si="1"/>
        <v>22.16</v>
      </c>
      <c r="J146" s="6">
        <v>0.4</v>
      </c>
      <c r="L146" s="6">
        <v>20.309999999999999</v>
      </c>
    </row>
    <row r="147" spans="1:12" ht="14" x14ac:dyDescent="0.15">
      <c r="A147" s="7" t="s">
        <v>164</v>
      </c>
      <c r="B147" s="31">
        <f t="shared" si="0"/>
        <v>0.185</v>
      </c>
      <c r="C147" s="31">
        <f ca="1">IFERROR(__xludf.DUMMYFUNCTION("IFERROR(STDEV.S(FILTER(H147:K147, H147:K147&lt;&gt;"""")))"),0.0494974746830583)</f>
        <v>4.9497474683058297E-2</v>
      </c>
      <c r="D147" s="49">
        <v>0.26755391719999999</v>
      </c>
      <c r="E147" s="6"/>
      <c r="F147" s="40"/>
      <c r="G147" s="27">
        <v>220000</v>
      </c>
      <c r="I147" s="6">
        <f t="shared" si="1"/>
        <v>0.22</v>
      </c>
      <c r="J147" s="6"/>
      <c r="K147" s="6"/>
      <c r="L147" s="6">
        <v>0.15</v>
      </c>
    </row>
    <row r="148" spans="1:12" ht="28" x14ac:dyDescent="0.15">
      <c r="A148" s="7" t="s">
        <v>166</v>
      </c>
      <c r="B148" s="31">
        <f t="shared" si="0"/>
        <v>0</v>
      </c>
      <c r="C148" s="31" t="str">
        <f ca="1">IFERROR(__xludf.DUMMYFUNCTION("IFERROR(STDEV.S(FILTER(H148:K148, H148:K148&lt;&gt;"""")))"),"")</f>
        <v/>
      </c>
      <c r="D148" s="49" t="s">
        <v>277</v>
      </c>
      <c r="E148" s="6"/>
      <c r="F148" s="40"/>
      <c r="G148" s="6">
        <v>0</v>
      </c>
      <c r="I148" s="6">
        <f t="shared" si="1"/>
        <v>0</v>
      </c>
      <c r="J148" s="6"/>
      <c r="K148" s="6"/>
    </row>
    <row r="149" spans="1:12" ht="14" x14ac:dyDescent="0.15">
      <c r="A149" s="7" t="s">
        <v>167</v>
      </c>
      <c r="B149" s="31">
        <f t="shared" si="0"/>
        <v>0</v>
      </c>
      <c r="C149" s="31" t="str">
        <f ca="1">IFERROR(__xludf.DUMMYFUNCTION("IFERROR(STDEV.S(FILTER(H149:K149, H149:K149&lt;&gt;"""")))"),"")</f>
        <v/>
      </c>
      <c r="D149" s="49" t="s">
        <v>277</v>
      </c>
      <c r="E149" s="6"/>
      <c r="F149" s="40"/>
      <c r="G149" s="6">
        <v>0</v>
      </c>
      <c r="I149" s="6">
        <f t="shared" si="1"/>
        <v>0</v>
      </c>
      <c r="J149" s="6"/>
      <c r="K149" s="6"/>
    </row>
    <row r="150" spans="1:12" ht="42" x14ac:dyDescent="0.15">
      <c r="A150" s="7" t="s">
        <v>169</v>
      </c>
      <c r="B150" s="31">
        <f t="shared" si="0"/>
        <v>0</v>
      </c>
      <c r="C150" s="31" t="str">
        <f ca="1">IFERROR(__xludf.DUMMYFUNCTION("IFERROR(STDEV.S(FILTER(H150:K150, H150:K150&lt;&gt;"""")))"),"")</f>
        <v/>
      </c>
      <c r="D150" s="49" t="s">
        <v>277</v>
      </c>
      <c r="E150" s="6"/>
      <c r="F150" s="40"/>
      <c r="G150" s="6">
        <v>0</v>
      </c>
      <c r="I150" s="6">
        <f t="shared" si="1"/>
        <v>0</v>
      </c>
      <c r="J150" s="6"/>
      <c r="K150" s="6"/>
    </row>
    <row r="151" spans="1:12" ht="14" x14ac:dyDescent="0.15">
      <c r="A151" s="7" t="s">
        <v>170</v>
      </c>
      <c r="B151" s="31">
        <f t="shared" si="0"/>
        <v>0</v>
      </c>
      <c r="C151" s="31" t="str">
        <f ca="1">IFERROR(__xludf.DUMMYFUNCTION("IFERROR(STDEV.S(FILTER(H151:K151, H151:K151&lt;&gt;"""")))"),"")</f>
        <v/>
      </c>
      <c r="D151" s="49" t="s">
        <v>277</v>
      </c>
      <c r="E151" s="6"/>
      <c r="F151" s="40"/>
      <c r="G151" s="6">
        <v>0</v>
      </c>
      <c r="I151" s="6">
        <f t="shared" si="1"/>
        <v>0</v>
      </c>
      <c r="J151" s="6"/>
      <c r="K151" s="6"/>
    </row>
    <row r="152" spans="1:12" ht="28" x14ac:dyDescent="0.15">
      <c r="A152" s="7" t="s">
        <v>171</v>
      </c>
      <c r="B152" s="31">
        <f t="shared" si="0"/>
        <v>0</v>
      </c>
      <c r="C152" s="31" t="str">
        <f ca="1">IFERROR(__xludf.DUMMYFUNCTION("IFERROR(STDEV.S(FILTER(H152:K152, H152:K152&lt;&gt;"""")))"),"")</f>
        <v/>
      </c>
      <c r="D152" s="49" t="s">
        <v>277</v>
      </c>
      <c r="E152" s="6"/>
      <c r="F152" s="40"/>
      <c r="G152" s="6">
        <v>0</v>
      </c>
      <c r="I152" s="6">
        <f t="shared" si="1"/>
        <v>0</v>
      </c>
      <c r="J152" s="6"/>
      <c r="K152" s="6"/>
    </row>
    <row r="153" spans="1:12" ht="14" x14ac:dyDescent="0.15">
      <c r="A153" s="7" t="s">
        <v>172</v>
      </c>
      <c r="B153" s="31">
        <f t="shared" si="0"/>
        <v>13.8475</v>
      </c>
      <c r="C153" s="31">
        <f ca="1">IFERROR(__xludf.DUMMYFUNCTION("IFERROR(STDEV.S(FILTER(H153:K153, H153:K153&lt;&gt;"""")))"),14.8727163513148)</f>
        <v>14.8727163513148</v>
      </c>
      <c r="D153" s="49">
        <v>1.0740362050000001</v>
      </c>
      <c r="E153" s="6"/>
      <c r="F153" s="40">
        <v>0.8</v>
      </c>
      <c r="G153" s="27">
        <v>28690000</v>
      </c>
      <c r="I153" s="6">
        <f t="shared" si="1"/>
        <v>28.689999999999998</v>
      </c>
      <c r="J153" s="6">
        <v>1.3</v>
      </c>
      <c r="K153" s="6">
        <v>0.8</v>
      </c>
      <c r="L153" s="6">
        <v>24.6</v>
      </c>
    </row>
    <row r="154" spans="1:12" ht="14" x14ac:dyDescent="0.15">
      <c r="A154" s="7" t="s">
        <v>173</v>
      </c>
      <c r="B154" s="31">
        <f t="shared" si="0"/>
        <v>2.7649999999999997</v>
      </c>
      <c r="C154" s="31">
        <f ca="1">IFERROR(__xludf.DUMMYFUNCTION("IFERROR(STDEV.S(FILTER(H154:K154, H154:K154&lt;&gt;"""")))"),0.190918830920367)</f>
        <v>0.19091883092036699</v>
      </c>
      <c r="D154" s="49">
        <v>6.9048401780000004E-2</v>
      </c>
      <c r="F154" s="40"/>
      <c r="G154" s="27">
        <v>2900000</v>
      </c>
      <c r="I154" s="6">
        <f t="shared" si="1"/>
        <v>2.9</v>
      </c>
      <c r="J154" s="6"/>
      <c r="K154" s="6"/>
      <c r="L154" s="6">
        <v>2.63</v>
      </c>
    </row>
    <row r="155" spans="1:12" ht="14" x14ac:dyDescent="0.15">
      <c r="A155" s="7" t="s">
        <v>174</v>
      </c>
      <c r="B155" s="31">
        <f t="shared" si="0"/>
        <v>0.98499999999999988</v>
      </c>
      <c r="C155" s="31">
        <f ca="1">IFERROR(__xludf.DUMMYFUNCTION("IFERROR(STDEV.S(FILTER(H155:K155, H155:K155&lt;&gt;"""")))"),0.134350288425443)</f>
        <v>0.134350288425443</v>
      </c>
      <c r="D155" s="49">
        <v>0.1363962319</v>
      </c>
      <c r="F155" s="40"/>
      <c r="G155" s="27">
        <v>1080000</v>
      </c>
      <c r="I155" s="6">
        <f t="shared" si="1"/>
        <v>1.0799999999999998</v>
      </c>
      <c r="J155" s="6"/>
      <c r="K155" s="6"/>
      <c r="L155" s="6">
        <v>0.89</v>
      </c>
    </row>
    <row r="156" spans="1:12" ht="14" x14ac:dyDescent="0.15">
      <c r="A156" s="7" t="s">
        <v>175</v>
      </c>
      <c r="B156" s="31">
        <f t="shared" si="0"/>
        <v>0</v>
      </c>
      <c r="C156" s="31" t="str">
        <f ca="1">IFERROR(__xludf.DUMMYFUNCTION("IFERROR(STDEV.S(FILTER(H156:K156, H156:K156&lt;&gt;"""")))"),"")</f>
        <v/>
      </c>
      <c r="D156" s="49" t="s">
        <v>277</v>
      </c>
      <c r="F156" s="40"/>
      <c r="G156" s="6">
        <v>0</v>
      </c>
      <c r="I156" s="6">
        <f t="shared" si="1"/>
        <v>0</v>
      </c>
      <c r="J156" s="6"/>
      <c r="K156" s="6"/>
    </row>
    <row r="157" spans="1:12" ht="14" x14ac:dyDescent="0.15">
      <c r="A157" s="7" t="s">
        <v>176</v>
      </c>
      <c r="B157" s="31">
        <f t="shared" si="0"/>
        <v>0</v>
      </c>
      <c r="C157" s="31" t="str">
        <f ca="1">IFERROR(__xludf.DUMMYFUNCTION("IFERROR(STDEV.S(FILTER(H157:K157, H157:K157&lt;&gt;"""")))"),"")</f>
        <v/>
      </c>
      <c r="D157" s="49" t="s">
        <v>277</v>
      </c>
      <c r="F157" s="40"/>
      <c r="G157" s="6">
        <v>0</v>
      </c>
      <c r="I157" s="6">
        <f t="shared" si="1"/>
        <v>0</v>
      </c>
      <c r="J157" s="6"/>
      <c r="K157" s="6"/>
    </row>
    <row r="158" spans="1:12" ht="14" x14ac:dyDescent="0.15">
      <c r="A158" s="7" t="s">
        <v>177</v>
      </c>
      <c r="B158" s="31">
        <f t="shared" si="0"/>
        <v>0</v>
      </c>
      <c r="C158" s="31" t="str">
        <f ca="1">IFERROR(__xludf.DUMMYFUNCTION("IFERROR(STDEV.S(FILTER(H158:K158, H158:K158&lt;&gt;"""")))"),"")</f>
        <v/>
      </c>
      <c r="D158" s="49" t="s">
        <v>277</v>
      </c>
      <c r="F158" s="40"/>
      <c r="G158" s="6">
        <v>0</v>
      </c>
      <c r="I158" s="6">
        <f t="shared" si="1"/>
        <v>0</v>
      </c>
      <c r="J158" s="6"/>
      <c r="K158" s="6"/>
    </row>
    <row r="159" spans="1:12" ht="14" x14ac:dyDescent="0.15">
      <c r="A159" s="7" t="s">
        <v>233</v>
      </c>
      <c r="B159" s="31">
        <f t="shared" si="0"/>
        <v>1.4249999999999998</v>
      </c>
      <c r="C159" s="31">
        <f ca="1">IFERROR(__xludf.DUMMYFUNCTION("IFERROR(STDEV.S(FILTER(H159:K159, H159:K159&lt;&gt;"""")))"),0.0353553390593273)</f>
        <v>3.53553390593273E-2</v>
      </c>
      <c r="D159" s="49">
        <v>2.4810764249999999E-2</v>
      </c>
      <c r="F159" s="40"/>
      <c r="G159" s="27">
        <v>1450000</v>
      </c>
      <c r="I159" s="6">
        <f t="shared" si="1"/>
        <v>1.45</v>
      </c>
      <c r="J159" s="6"/>
      <c r="K159" s="6"/>
      <c r="L159" s="6">
        <v>1.4</v>
      </c>
    </row>
    <row r="160" spans="1:12" ht="14" x14ac:dyDescent="0.15">
      <c r="A160" s="7" t="s">
        <v>179</v>
      </c>
      <c r="B160" s="31">
        <f t="shared" si="0"/>
        <v>0.47499999999999998</v>
      </c>
      <c r="C160" s="31">
        <f ca="1">IFERROR(__xludf.DUMMYFUNCTION("IFERROR(STDEV.S(FILTER(H160:K160, H160:K160&lt;&gt;"""")))"),0.00707106781186548)</f>
        <v>7.0710678118654797E-3</v>
      </c>
      <c r="D160" s="49">
        <v>1.488645855E-2</v>
      </c>
      <c r="F160" s="40"/>
      <c r="G160" s="27">
        <v>470000</v>
      </c>
      <c r="I160" s="6">
        <f t="shared" si="1"/>
        <v>0.47</v>
      </c>
      <c r="J160" s="6"/>
      <c r="K160" s="6"/>
      <c r="L160" s="6">
        <v>0.48</v>
      </c>
    </row>
    <row r="161" spans="1:12" ht="14" x14ac:dyDescent="0.15">
      <c r="A161" s="7" t="s">
        <v>284</v>
      </c>
      <c r="B161" s="31">
        <f t="shared" si="0"/>
        <v>0</v>
      </c>
      <c r="C161" s="31" t="str">
        <f ca="1">IFERROR(__xludf.DUMMYFUNCTION("IFERROR(STDEV.S(FILTER(H161:K161, H161:K161&lt;&gt;"""")))"),"")</f>
        <v/>
      </c>
      <c r="D161" s="49" t="s">
        <v>277</v>
      </c>
      <c r="F161" s="40"/>
      <c r="G161" s="6">
        <v>0</v>
      </c>
      <c r="I161" s="6">
        <f t="shared" si="1"/>
        <v>0</v>
      </c>
      <c r="J161" s="6"/>
      <c r="K161" s="6"/>
    </row>
    <row r="162" spans="1:12" ht="14" x14ac:dyDescent="0.15">
      <c r="A162" s="7" t="s">
        <v>180</v>
      </c>
      <c r="B162" s="31" t="str">
        <f t="shared" si="0"/>
        <v/>
      </c>
      <c r="C162" s="31" t="str">
        <f ca="1">IFERROR(__xludf.DUMMYFUNCTION("IFERROR(STDEV.S(FILTER(H162:K162, H162:K162&lt;&gt;"""")))"),"")</f>
        <v/>
      </c>
      <c r="D162" s="49" t="s">
        <v>277</v>
      </c>
      <c r="F162" s="40"/>
      <c r="I162" s="6" t="str">
        <f t="shared" si="1"/>
        <v/>
      </c>
      <c r="J162" s="6"/>
      <c r="K162" s="6"/>
    </row>
    <row r="163" spans="1:12" ht="14" x14ac:dyDescent="0.15">
      <c r="A163" s="7" t="s">
        <v>181</v>
      </c>
      <c r="B163" s="31">
        <f t="shared" si="0"/>
        <v>5.3650000000000002</v>
      </c>
      <c r="C163" s="31">
        <f ca="1">IFERROR(__xludf.DUMMYFUNCTION("IFERROR(STDEV.S(FILTER(H163:K163, H163:K163&lt;&gt;"""")))"),0.120208152801713)</f>
        <v>0.120208152801713</v>
      </c>
      <c r="D163" s="49">
        <v>2.2405993070000001E-2</v>
      </c>
      <c r="F163" s="40"/>
      <c r="G163" s="27">
        <v>5280000</v>
      </c>
      <c r="I163" s="6">
        <f t="shared" si="1"/>
        <v>5.2799999999999994</v>
      </c>
      <c r="J163" s="6"/>
      <c r="K163" s="6"/>
      <c r="L163" s="6">
        <v>5.45</v>
      </c>
    </row>
    <row r="164" spans="1:12" ht="14" x14ac:dyDescent="0.15">
      <c r="A164" s="7" t="s">
        <v>182</v>
      </c>
      <c r="B164" s="31">
        <f t="shared" si="0"/>
        <v>16.209999999999997</v>
      </c>
      <c r="C164" s="31">
        <f ca="1">IFERROR(__xludf.DUMMYFUNCTION("IFERROR(STDEV.S(FILTER(H164:K164, H164:K164&lt;&gt;"""")))"),14.0517365474876)</f>
        <v>14.0517365474876</v>
      </c>
      <c r="D164" s="49">
        <v>0.86685604859999998</v>
      </c>
      <c r="F164" s="40"/>
      <c r="G164" s="27">
        <v>23700000</v>
      </c>
      <c r="I164" s="6">
        <f t="shared" si="1"/>
        <v>23.7</v>
      </c>
      <c r="J164" s="6"/>
      <c r="K164" s="6">
        <v>0</v>
      </c>
      <c r="L164" s="6">
        <v>24.93</v>
      </c>
    </row>
    <row r="165" spans="1:12" ht="14" x14ac:dyDescent="0.15">
      <c r="A165" s="7" t="s">
        <v>286</v>
      </c>
      <c r="B165" s="31">
        <f t="shared" si="0"/>
        <v>0</v>
      </c>
      <c r="C165" s="31" t="str">
        <f ca="1">IFERROR(__xludf.DUMMYFUNCTION("IFERROR(STDEV.S(FILTER(H165:K165, H165:K165&lt;&gt;"""")))"),"")</f>
        <v/>
      </c>
      <c r="D165" s="49" t="s">
        <v>277</v>
      </c>
      <c r="F165" s="40"/>
      <c r="G165" s="6">
        <v>0</v>
      </c>
      <c r="I165" s="6">
        <f t="shared" si="1"/>
        <v>0</v>
      </c>
      <c r="J165" s="6"/>
      <c r="K165" s="6"/>
    </row>
    <row r="166" spans="1:12" ht="14" x14ac:dyDescent="0.15">
      <c r="A166" s="7" t="s">
        <v>183</v>
      </c>
      <c r="B166" s="31">
        <f t="shared" si="0"/>
        <v>5.8433333333333337</v>
      </c>
      <c r="C166" s="31">
        <f ca="1">IFERROR(__xludf.DUMMYFUNCTION("IFERROR(STDEV.S(FILTER(H166:K166, H166:K166&lt;&gt;"""")))"),5.06906631770914)</f>
        <v>5.0690663177091402</v>
      </c>
      <c r="D166" s="49">
        <v>0.86749566190000005</v>
      </c>
      <c r="F166" s="40"/>
      <c r="G166" s="27">
        <v>8470000</v>
      </c>
      <c r="I166" s="6">
        <f t="shared" si="1"/>
        <v>8.4699999999999989</v>
      </c>
      <c r="J166" s="6"/>
      <c r="K166" s="6">
        <v>0</v>
      </c>
      <c r="L166" s="6">
        <v>9.06</v>
      </c>
    </row>
    <row r="167" spans="1:12" ht="14" x14ac:dyDescent="0.15">
      <c r="A167" s="7" t="s">
        <v>184</v>
      </c>
      <c r="B167" s="31">
        <f t="shared" si="0"/>
        <v>1.4</v>
      </c>
      <c r="C167" s="31">
        <f ca="1">IFERROR(__xludf.DUMMYFUNCTION("IFERROR(STDEV.S(FILTER(H167:K167, H167:K167&lt;&gt;"""")))"),0.141421356237309)</f>
        <v>0.141421356237309</v>
      </c>
      <c r="D167" s="49">
        <v>0.1010152545</v>
      </c>
      <c r="F167" s="40"/>
      <c r="G167" s="27">
        <v>1500000</v>
      </c>
      <c r="I167" s="6">
        <f t="shared" si="1"/>
        <v>1.5</v>
      </c>
      <c r="J167" s="6"/>
      <c r="K167" s="6"/>
      <c r="L167" s="6">
        <v>1.3</v>
      </c>
    </row>
    <row r="168" spans="1:12" ht="14" x14ac:dyDescent="0.15">
      <c r="A168" s="7" t="s">
        <v>185</v>
      </c>
      <c r="B168" s="31">
        <f t="shared" si="0"/>
        <v>1.56</v>
      </c>
      <c r="C168" s="31">
        <f ca="1">IFERROR(__xludf.DUMMYFUNCTION("IFERROR(STDEV.S(FILTER(H168:K168, H168:K168&lt;&gt;"""")))"),0)</f>
        <v>0</v>
      </c>
      <c r="D168" s="49">
        <v>0</v>
      </c>
      <c r="F168" s="40"/>
      <c r="G168" s="27">
        <v>1560000</v>
      </c>
      <c r="I168" s="6">
        <f t="shared" si="1"/>
        <v>1.5599999999999998</v>
      </c>
      <c r="J168" s="6"/>
      <c r="K168" s="6"/>
      <c r="L168" s="6">
        <v>1.56</v>
      </c>
    </row>
    <row r="169" spans="1:12" ht="14" x14ac:dyDescent="0.15">
      <c r="A169" s="7" t="s">
        <v>186</v>
      </c>
      <c r="B169" s="31">
        <f t="shared" si="0"/>
        <v>0.02</v>
      </c>
      <c r="C169" s="31">
        <f ca="1">IFERROR(__xludf.DUMMYFUNCTION("IFERROR(STDEV.S(FILTER(H169:K169, H169:K169&lt;&gt;"""")))"),0)</f>
        <v>0</v>
      </c>
      <c r="D169" s="49">
        <v>0</v>
      </c>
      <c r="F169" s="40"/>
      <c r="G169" s="27">
        <v>20000</v>
      </c>
      <c r="I169" s="6">
        <f t="shared" si="1"/>
        <v>0.02</v>
      </c>
      <c r="J169" s="6"/>
      <c r="K169" s="6"/>
      <c r="L169" s="6">
        <v>0.02</v>
      </c>
    </row>
    <row r="170" spans="1:12" ht="14" x14ac:dyDescent="0.15">
      <c r="A170" s="7" t="s">
        <v>187</v>
      </c>
      <c r="B170" s="31">
        <f t="shared" si="0"/>
        <v>0.87333333333333341</v>
      </c>
      <c r="C170" s="31">
        <f ca="1">IFERROR(__xludf.DUMMYFUNCTION("IFERROR(STDEV.S(FILTER(H170:K170, H170:K170&lt;&gt;"""")))"),0.757979771058128)</f>
        <v>0.75797977105812797</v>
      </c>
      <c r="D170" s="49">
        <v>0.86791576839999995</v>
      </c>
      <c r="F170" s="40"/>
      <c r="G170" s="27">
        <v>1260000</v>
      </c>
      <c r="I170" s="6">
        <f t="shared" si="1"/>
        <v>1.26</v>
      </c>
      <c r="J170" s="6"/>
      <c r="K170" s="6">
        <v>0</v>
      </c>
      <c r="L170" s="6">
        <v>1.36</v>
      </c>
    </row>
    <row r="171" spans="1:12" ht="14" x14ac:dyDescent="0.15">
      <c r="A171" s="7" t="s">
        <v>188</v>
      </c>
      <c r="B171" s="31">
        <f t="shared" si="0"/>
        <v>1.1533333333333333</v>
      </c>
      <c r="C171" s="31">
        <f ca="1">IFERROR(__xludf.DUMMYFUNCTION("IFERROR(STDEV.S(FILTER(H171:K171, H171:K171&lt;&gt;"""")))"),0.998815965698052)</f>
        <v>0.99881596569805198</v>
      </c>
      <c r="D171" s="49">
        <v>0.86602540380000004</v>
      </c>
      <c r="F171" s="40"/>
      <c r="G171" s="27">
        <v>1730000</v>
      </c>
      <c r="I171" s="6">
        <f t="shared" si="1"/>
        <v>1.73</v>
      </c>
      <c r="J171" s="6"/>
      <c r="K171" s="6">
        <v>0</v>
      </c>
      <c r="L171" s="6">
        <v>1.73</v>
      </c>
    </row>
    <row r="172" spans="1:12" ht="14" x14ac:dyDescent="0.15">
      <c r="A172" s="7" t="s">
        <v>189</v>
      </c>
      <c r="B172" s="31">
        <f t="shared" si="0"/>
        <v>0.82000000000000006</v>
      </c>
      <c r="C172" s="31">
        <f ca="1">IFERROR(__xludf.DUMMYFUNCTION("IFERROR(STDEV.S(FILTER(H172:K172, H172:K172&lt;&gt;"""")))"),0.0707106781186547)</f>
        <v>7.0710678118654696E-2</v>
      </c>
      <c r="D172" s="49">
        <v>8.6232534289999996E-2</v>
      </c>
      <c r="F172" s="40"/>
      <c r="G172" s="27">
        <v>870000</v>
      </c>
      <c r="I172" s="6">
        <f t="shared" si="1"/>
        <v>0.87</v>
      </c>
      <c r="J172" s="6"/>
      <c r="K172" s="6"/>
      <c r="L172" s="6">
        <v>0.77</v>
      </c>
    </row>
    <row r="173" spans="1:12" ht="14" x14ac:dyDescent="0.15">
      <c r="A173" s="7" t="s">
        <v>190</v>
      </c>
      <c r="B173" s="31">
        <f t="shared" si="0"/>
        <v>0</v>
      </c>
      <c r="C173" s="31" t="str">
        <f ca="1">IFERROR(__xludf.DUMMYFUNCTION("IFERROR(STDEV.S(FILTER(H173:K173, H173:K173&lt;&gt;"""")))"),"")</f>
        <v/>
      </c>
      <c r="D173" s="49" t="s">
        <v>277</v>
      </c>
      <c r="F173" s="40"/>
      <c r="I173" s="6" t="str">
        <f t="shared" si="1"/>
        <v/>
      </c>
      <c r="J173" s="6"/>
      <c r="K173" s="6">
        <v>0</v>
      </c>
    </row>
    <row r="174" spans="1:12" ht="14" x14ac:dyDescent="0.15">
      <c r="A174" s="7" t="s">
        <v>191</v>
      </c>
      <c r="B174" s="31">
        <f t="shared" si="0"/>
        <v>2.0049999999999999</v>
      </c>
      <c r="C174" s="31">
        <f ca="1">IFERROR(__xludf.DUMMYFUNCTION("IFERROR(STDEV.S(FILTER(H174:K174, H174:K174&lt;&gt;"""")))"),0.0636396103067891)</f>
        <v>6.3639610306789093E-2</v>
      </c>
      <c r="D174" s="49">
        <v>3.1740454020000003E-2</v>
      </c>
      <c r="E174" s="6"/>
      <c r="F174" s="40"/>
      <c r="G174" s="27">
        <v>1960000</v>
      </c>
      <c r="I174" s="6">
        <f t="shared" si="1"/>
        <v>1.96</v>
      </c>
      <c r="J174" s="6"/>
      <c r="K174" s="6"/>
      <c r="L174" s="6">
        <v>2.0499999999999998</v>
      </c>
    </row>
    <row r="175" spans="1:12" ht="14" x14ac:dyDescent="0.15">
      <c r="A175" s="7" t="s">
        <v>192</v>
      </c>
      <c r="B175" s="31">
        <f t="shared" si="0"/>
        <v>2.52</v>
      </c>
      <c r="C175" s="31">
        <f ca="1">IFERROR(__xludf.DUMMYFUNCTION("IFERROR(STDEV.S(FILTER(H175:K175, H175:K175&lt;&gt;"""")))"),0)</f>
        <v>0</v>
      </c>
      <c r="D175" s="49">
        <v>0</v>
      </c>
      <c r="E175" s="6"/>
      <c r="F175" s="40"/>
      <c r="G175" s="27">
        <v>2520000</v>
      </c>
      <c r="I175" s="6">
        <f t="shared" si="1"/>
        <v>2.52</v>
      </c>
      <c r="J175" s="6"/>
      <c r="K175" s="6"/>
      <c r="L175" s="6">
        <v>2.52</v>
      </c>
    </row>
    <row r="176" spans="1:12" ht="14" x14ac:dyDescent="0.15">
      <c r="A176" s="7" t="s">
        <v>193</v>
      </c>
      <c r="B176" s="31">
        <f t="shared" si="0"/>
        <v>21.725000000000001</v>
      </c>
      <c r="C176" s="31">
        <f ca="1">IFERROR(__xludf.DUMMYFUNCTION("IFERROR(STDEV.S(FILTER(H176:K176, H176:K176&lt;&gt;"""")))"),0.813172798364529)</f>
        <v>0.81317279836452905</v>
      </c>
      <c r="D176" s="49">
        <v>3.7430278409999997E-2</v>
      </c>
      <c r="E176" s="6"/>
      <c r="F176" s="40"/>
      <c r="G176" s="27">
        <v>21150000</v>
      </c>
      <c r="I176" s="6">
        <f t="shared" si="1"/>
        <v>21.15</v>
      </c>
      <c r="J176" s="6"/>
      <c r="K176" s="6"/>
      <c r="L176" s="6">
        <v>22.3</v>
      </c>
    </row>
    <row r="177" spans="1:12" ht="14" x14ac:dyDescent="0.15">
      <c r="A177" s="7" t="s">
        <v>194</v>
      </c>
      <c r="B177" s="31">
        <f t="shared" si="0"/>
        <v>0.91999999999999993</v>
      </c>
      <c r="C177" s="31">
        <f ca="1">IFERROR(__xludf.DUMMYFUNCTION("IFERROR(STDEV.S(FILTER(H177:K177, H177:K177&lt;&gt;"""")))"),1.11022302462515E-16)</f>
        <v>1.11022302462515E-16</v>
      </c>
      <c r="D177" s="49">
        <v>0</v>
      </c>
      <c r="E177" s="6"/>
      <c r="F177" s="40"/>
      <c r="G177" s="27">
        <v>920000</v>
      </c>
      <c r="I177" s="6">
        <f t="shared" si="1"/>
        <v>0.91999999999999993</v>
      </c>
      <c r="J177" s="6"/>
      <c r="K177" s="6"/>
      <c r="L177" s="6">
        <v>0.92</v>
      </c>
    </row>
    <row r="178" spans="1:12" ht="14" x14ac:dyDescent="0.15">
      <c r="A178" s="7" t="s">
        <v>195</v>
      </c>
      <c r="B178" s="31">
        <f t="shared" si="0"/>
        <v>0</v>
      </c>
      <c r="C178" s="31" t="str">
        <f ca="1">IFERROR(__xludf.DUMMYFUNCTION("IFERROR(STDEV.S(FILTER(H178:K178, H178:K178&lt;&gt;"""")))"),"")</f>
        <v/>
      </c>
      <c r="D178" s="49" t="s">
        <v>277</v>
      </c>
      <c r="E178" s="6"/>
      <c r="F178" s="40"/>
      <c r="G178" s="6">
        <v>0</v>
      </c>
      <c r="I178" s="6">
        <f t="shared" si="1"/>
        <v>0</v>
      </c>
      <c r="J178" s="6"/>
      <c r="K178" s="6"/>
    </row>
    <row r="179" spans="1:12" ht="28" x14ac:dyDescent="0.15">
      <c r="A179" s="7" t="s">
        <v>196</v>
      </c>
      <c r="B179" s="31">
        <f t="shared" si="0"/>
        <v>0.27</v>
      </c>
      <c r="C179" s="31">
        <f ca="1">IFERROR(__xludf.DUMMYFUNCTION("IFERROR(STDEV.S(FILTER(H179:K179, H179:K179&lt;&gt;"""")))"),0.0141421356237309)</f>
        <v>1.41421356237309E-2</v>
      </c>
      <c r="D179" s="49">
        <v>5.237828009E-2</v>
      </c>
      <c r="E179" s="6"/>
      <c r="F179" s="40"/>
      <c r="G179" s="27">
        <v>280000</v>
      </c>
      <c r="I179" s="6">
        <f t="shared" si="1"/>
        <v>0.27999999999999997</v>
      </c>
      <c r="J179" s="6"/>
      <c r="K179" s="6"/>
      <c r="L179" s="6">
        <v>0.26</v>
      </c>
    </row>
    <row r="180" spans="1:12" ht="14" x14ac:dyDescent="0.15">
      <c r="A180" s="7" t="s">
        <v>197</v>
      </c>
      <c r="B180" s="31">
        <f t="shared" si="0"/>
        <v>4.2149999999999999</v>
      </c>
      <c r="C180" s="31">
        <f ca="1">IFERROR(__xludf.DUMMYFUNCTION("IFERROR(STDEV.S(FILTER(H180:K180, H180:K180&lt;&gt;"""")))"),0.0494974746830585)</f>
        <v>4.9497474683058498E-2</v>
      </c>
      <c r="D180" s="49">
        <v>1.174317312E-2</v>
      </c>
      <c r="E180" s="6"/>
      <c r="F180" s="40"/>
      <c r="G180" s="27">
        <v>4250000</v>
      </c>
      <c r="I180" s="6">
        <f t="shared" si="1"/>
        <v>4.25</v>
      </c>
      <c r="J180" s="6"/>
      <c r="K180" s="6"/>
      <c r="L180" s="6">
        <v>4.18</v>
      </c>
    </row>
    <row r="181" spans="1:12" ht="14" x14ac:dyDescent="0.15">
      <c r="A181" s="7" t="s">
        <v>254</v>
      </c>
      <c r="B181" s="31">
        <f t="shared" si="0"/>
        <v>38.29</v>
      </c>
      <c r="C181" s="31">
        <f ca="1">IFERROR(__xludf.DUMMYFUNCTION("IFERROR(STDEV.S(FILTER(H181:K181, H181:K181&lt;&gt;"""")))"),8.40042856049618)</f>
        <v>8.4004285604961808</v>
      </c>
      <c r="D181" s="49">
        <v>0.2193896203</v>
      </c>
      <c r="E181" s="6"/>
      <c r="F181" s="40"/>
      <c r="G181" s="27">
        <v>44230000</v>
      </c>
      <c r="I181" s="6">
        <f t="shared" si="1"/>
        <v>44.23</v>
      </c>
      <c r="J181" s="6"/>
      <c r="K181" s="6"/>
      <c r="L181" s="6">
        <v>32.35</v>
      </c>
    </row>
    <row r="182" spans="1:12" ht="14" x14ac:dyDescent="0.15">
      <c r="A182" s="7" t="s">
        <v>199</v>
      </c>
      <c r="B182" s="31">
        <f t="shared" si="0"/>
        <v>0.86</v>
      </c>
      <c r="C182" s="31">
        <f ca="1">IFERROR(__xludf.DUMMYFUNCTION("IFERROR(STDEV.S(FILTER(H182:K182, H182:K182&lt;&gt;"""")))"),0.0848528137423857)</f>
        <v>8.4852813742385694E-2</v>
      </c>
      <c r="D182" s="49">
        <v>9.8666062489999998E-2</v>
      </c>
      <c r="E182" s="6"/>
      <c r="F182" s="40"/>
      <c r="G182" s="27">
        <v>800000</v>
      </c>
      <c r="I182" s="6">
        <f t="shared" si="1"/>
        <v>0.79999999999999993</v>
      </c>
      <c r="J182" s="6"/>
      <c r="K182" s="6"/>
      <c r="L182" s="6">
        <v>0.92</v>
      </c>
    </row>
    <row r="183" spans="1:12" ht="14" x14ac:dyDescent="0.15">
      <c r="A183" s="7" t="s">
        <v>236</v>
      </c>
      <c r="B183" s="31">
        <f t="shared" si="0"/>
        <v>0</v>
      </c>
      <c r="C183" s="31" t="str">
        <f ca="1">IFERROR(__xludf.DUMMYFUNCTION("IFERROR(STDEV.S(FILTER(H183:K183, H183:K183&lt;&gt;"""")))"),"")</f>
        <v/>
      </c>
      <c r="D183" s="49" t="s">
        <v>277</v>
      </c>
      <c r="E183" s="6"/>
      <c r="F183" s="40"/>
      <c r="G183" s="6">
        <v>0</v>
      </c>
      <c r="I183" s="6">
        <f t="shared" si="1"/>
        <v>0</v>
      </c>
      <c r="J183" s="6"/>
      <c r="K183" s="6"/>
    </row>
    <row r="184" spans="1:12" ht="14" x14ac:dyDescent="0.15">
      <c r="A184" s="7" t="s">
        <v>201</v>
      </c>
      <c r="B184" s="31">
        <f t="shared" si="0"/>
        <v>0.54500000000000004</v>
      </c>
      <c r="C184" s="31">
        <f ca="1">IFERROR(__xludf.DUMMYFUNCTION("IFERROR(STDEV.S(FILTER(H184:K184, H184:K184&lt;&gt;"""")))"),0.120208152801713)</f>
        <v>0.120208152801713</v>
      </c>
      <c r="D184" s="49">
        <v>0.22056541800000001</v>
      </c>
      <c r="E184" s="6"/>
      <c r="F184" s="40"/>
      <c r="G184" s="27">
        <v>630000</v>
      </c>
      <c r="I184" s="6">
        <f t="shared" si="1"/>
        <v>0.63</v>
      </c>
      <c r="J184" s="6"/>
      <c r="K184" s="6"/>
      <c r="L184" s="6">
        <v>0.46</v>
      </c>
    </row>
    <row r="185" spans="1:12" ht="14" x14ac:dyDescent="0.15">
      <c r="A185" s="7" t="s">
        <v>202</v>
      </c>
      <c r="B185" s="31">
        <f t="shared" si="0"/>
        <v>4.1500000000000004</v>
      </c>
      <c r="C185" s="31">
        <f ca="1">IFERROR(__xludf.DUMMYFUNCTION("IFERROR(STDEV.S(FILTER(H185:K185, H185:K185&lt;&gt;"""")))"),0.268700576850888)</f>
        <v>0.268700576850888</v>
      </c>
      <c r="D185" s="49">
        <v>6.4747126949999997E-2</v>
      </c>
      <c r="E185" s="6"/>
      <c r="F185" s="40"/>
      <c r="G185" s="27">
        <v>4340000</v>
      </c>
      <c r="I185" s="6">
        <f t="shared" si="1"/>
        <v>4.34</v>
      </c>
      <c r="J185" s="6"/>
      <c r="K185" s="6"/>
      <c r="L185" s="6">
        <v>3.96</v>
      </c>
    </row>
    <row r="186" spans="1:12" ht="28" x14ac:dyDescent="0.15">
      <c r="A186" s="7" t="s">
        <v>203</v>
      </c>
      <c r="B186" s="31">
        <f t="shared" si="0"/>
        <v>3.8866666666666667</v>
      </c>
      <c r="C186" s="31">
        <f ca="1">IFERROR(__xludf.DUMMYFUNCTION("IFERROR(STDEV.S(FILTER(H186:K186, H186:K186&lt;&gt;"""")))"),2.67987561900423)</f>
        <v>2.6798756190042301</v>
      </c>
      <c r="D186" s="49">
        <v>0.68950487620000001</v>
      </c>
      <c r="E186" s="6"/>
      <c r="F186" s="40">
        <v>0.8</v>
      </c>
      <c r="G186" s="27">
        <v>5240000</v>
      </c>
      <c r="I186" s="6">
        <f t="shared" si="1"/>
        <v>5.2399999999999993</v>
      </c>
      <c r="J186" s="6"/>
      <c r="K186" s="6">
        <v>0.8</v>
      </c>
      <c r="L186" s="6">
        <v>5.62</v>
      </c>
    </row>
    <row r="187" spans="1:12" ht="28" x14ac:dyDescent="0.15">
      <c r="A187" s="7" t="s">
        <v>204</v>
      </c>
      <c r="B187" s="31">
        <f t="shared" si="0"/>
        <v>2.89</v>
      </c>
      <c r="C187" s="31">
        <f ca="1">IFERROR(__xludf.DUMMYFUNCTION("IFERROR(STDEV.S(FILTER(H187:K187, H187:K187&lt;&gt;"""")))"),2.50545405066626)</f>
        <v>2.5054540506662599</v>
      </c>
      <c r="D187" s="49">
        <v>0.8669391179</v>
      </c>
      <c r="F187" s="40"/>
      <c r="G187" s="27">
        <v>4220000</v>
      </c>
      <c r="I187" s="6">
        <f t="shared" si="1"/>
        <v>4.22</v>
      </c>
      <c r="J187" s="6"/>
      <c r="K187" s="6">
        <v>0</v>
      </c>
      <c r="L187" s="6">
        <v>4.45</v>
      </c>
    </row>
    <row r="188" spans="1:12" ht="28" x14ac:dyDescent="0.15">
      <c r="A188" s="7" t="s">
        <v>275</v>
      </c>
      <c r="B188" s="31">
        <f t="shared" si="0"/>
        <v>31.627499999999998</v>
      </c>
      <c r="C188" s="31">
        <f ca="1">IFERROR(__xludf.DUMMYFUNCTION("IFERROR(STDEV.S(FILTER(H188:K188, H188:K188&lt;&gt;"""")))"),10.9486844719658)</f>
        <v>10.9486844719658</v>
      </c>
      <c r="D188" s="49">
        <v>0.34617609589999998</v>
      </c>
      <c r="E188" s="6"/>
      <c r="F188" s="40">
        <v>19.93</v>
      </c>
      <c r="G188" s="27">
        <v>41310000</v>
      </c>
      <c r="I188" s="6">
        <f t="shared" si="1"/>
        <v>41.309999999999995</v>
      </c>
      <c r="J188" s="6">
        <v>22.5</v>
      </c>
      <c r="K188" s="6">
        <v>21.8</v>
      </c>
      <c r="L188" s="6">
        <v>40.9</v>
      </c>
    </row>
    <row r="189" spans="1:12" ht="14" x14ac:dyDescent="0.15">
      <c r="A189" s="7" t="s">
        <v>206</v>
      </c>
      <c r="B189" s="31">
        <f t="shared" si="0"/>
        <v>0.21333333333333329</v>
      </c>
      <c r="C189" s="31">
        <f ca="1">IFERROR(__xludf.DUMMYFUNCTION("IFERROR(STDEV.S(FILTER(H189:K189, H189:K189&lt;&gt;"""")))"),0.187171935218219)</f>
        <v>0.18717193521821901</v>
      </c>
      <c r="D189" s="49">
        <v>0.87736844629999999</v>
      </c>
      <c r="F189" s="40"/>
      <c r="G189" s="27">
        <v>350000</v>
      </c>
      <c r="I189" s="6">
        <f t="shared" si="1"/>
        <v>0.35</v>
      </c>
      <c r="J189" s="6"/>
      <c r="K189" s="6">
        <v>0</v>
      </c>
      <c r="L189" s="6">
        <v>0.28999999999999998</v>
      </c>
    </row>
    <row r="190" spans="1:12" ht="14" x14ac:dyDescent="0.15">
      <c r="A190" s="7" t="s">
        <v>207</v>
      </c>
      <c r="B190" s="31">
        <f t="shared" si="0"/>
        <v>5.335</v>
      </c>
      <c r="C190" s="31">
        <f ca="1">IFERROR(__xludf.DUMMYFUNCTION("IFERROR(STDEV.S(FILTER(H190:K190, H190:K190&lt;&gt;"""")))"),1.1667261889578)</f>
        <v>1.1667261889578</v>
      </c>
      <c r="D190" s="49">
        <v>0.2186928189</v>
      </c>
      <c r="F190" s="40"/>
      <c r="G190" s="27">
        <v>6160000</v>
      </c>
      <c r="I190" s="6">
        <f t="shared" si="1"/>
        <v>6.16</v>
      </c>
      <c r="J190" s="6"/>
      <c r="K190" s="6"/>
      <c r="L190" s="6">
        <v>4.51</v>
      </c>
    </row>
    <row r="191" spans="1:12" ht="14" x14ac:dyDescent="0.15">
      <c r="A191" s="7" t="s">
        <v>208</v>
      </c>
      <c r="B191" s="31">
        <f t="shared" si="0"/>
        <v>0</v>
      </c>
      <c r="C191" s="31" t="str">
        <f ca="1">IFERROR(__xludf.DUMMYFUNCTION("IFERROR(STDEV.S(FILTER(H191:K191, H191:K191&lt;&gt;"""")))"),"")</f>
        <v/>
      </c>
      <c r="D191" s="49" t="s">
        <v>277</v>
      </c>
      <c r="F191" s="40"/>
      <c r="G191" s="6">
        <v>0</v>
      </c>
      <c r="I191" s="6">
        <f t="shared" si="1"/>
        <v>0</v>
      </c>
      <c r="J191" s="6"/>
      <c r="K191" s="6"/>
    </row>
    <row r="192" spans="1:12" ht="14" x14ac:dyDescent="0.15">
      <c r="A192" s="7" t="s">
        <v>209</v>
      </c>
      <c r="B192" s="31">
        <f t="shared" si="0"/>
        <v>0.72</v>
      </c>
      <c r="C192" s="31">
        <f ca="1">IFERROR(__xludf.DUMMYFUNCTION("IFERROR(STDEV.S(FILTER(H192:K192, H192:K192&lt;&gt;"""")))"),0.381837661840735)</f>
        <v>0.38183766184073498</v>
      </c>
      <c r="D192" s="49">
        <v>0.53033008589999997</v>
      </c>
      <c r="F192" s="40"/>
      <c r="G192" s="27">
        <v>990000</v>
      </c>
      <c r="I192" s="6">
        <f t="shared" si="1"/>
        <v>0.99</v>
      </c>
      <c r="J192" s="6"/>
      <c r="K192" s="6"/>
      <c r="L192" s="6">
        <v>0.45</v>
      </c>
    </row>
    <row r="193" spans="1:12" ht="14" x14ac:dyDescent="0.15">
      <c r="A193" s="7" t="s">
        <v>210</v>
      </c>
      <c r="B193" s="31">
        <f t="shared" si="0"/>
        <v>59.305</v>
      </c>
      <c r="C193" s="31">
        <f ca="1">IFERROR(__xludf.DUMMYFUNCTION("IFERROR(STDEV.S(FILTER(H193:K193, H193:K193&lt;&gt;"""")))"),3.9103004999616)</f>
        <v>3.9103004999616</v>
      </c>
      <c r="D193" s="49">
        <v>6.5935427029999993E-2</v>
      </c>
      <c r="F193" s="40"/>
      <c r="G193" s="27">
        <v>62070000</v>
      </c>
      <c r="I193" s="6">
        <f t="shared" si="1"/>
        <v>62.07</v>
      </c>
      <c r="J193" s="6"/>
      <c r="K193" s="6"/>
      <c r="L193" s="6">
        <v>56.54</v>
      </c>
    </row>
    <row r="194" spans="1:12" ht="14" x14ac:dyDescent="0.15">
      <c r="A194" s="7" t="s">
        <v>211</v>
      </c>
      <c r="B194" s="31">
        <f t="shared" si="0"/>
        <v>0.64500000000000002</v>
      </c>
      <c r="C194" s="31">
        <f ca="1">IFERROR(__xludf.DUMMYFUNCTION("IFERROR(STDEV.S(FILTER(H194:K194, H194:K194&lt;&gt;"""")))"),0.0212132034355964)</f>
        <v>2.1213203435596399E-2</v>
      </c>
      <c r="D194" s="49">
        <v>3.28886875E-2</v>
      </c>
      <c r="F194" s="40"/>
      <c r="G194" s="27">
        <v>630000</v>
      </c>
      <c r="I194" s="6">
        <f t="shared" si="1"/>
        <v>0.63</v>
      </c>
      <c r="J194" s="6"/>
      <c r="K194" s="6"/>
      <c r="L194" s="6">
        <v>0.66</v>
      </c>
    </row>
    <row r="195" spans="1:12" ht="14" x14ac:dyDescent="0.15">
      <c r="A195" s="7" t="s">
        <v>212</v>
      </c>
      <c r="B195" s="31">
        <f t="shared" si="0"/>
        <v>1.01</v>
      </c>
      <c r="C195" s="31">
        <f ca="1">IFERROR(__xludf.DUMMYFUNCTION("IFERROR(STDEV.S(FILTER(H195:K195, H195:K195&lt;&gt;"""")))"),0.0707106781186548)</f>
        <v>7.0710678118654793E-2</v>
      </c>
      <c r="D195" s="49">
        <v>7.0010572389999998E-2</v>
      </c>
      <c r="F195" s="40"/>
      <c r="G195" s="27">
        <v>1060000</v>
      </c>
      <c r="I195" s="6">
        <f t="shared" si="1"/>
        <v>1.06</v>
      </c>
      <c r="J195" s="6"/>
      <c r="K195" s="6"/>
      <c r="L195" s="6">
        <v>0.96</v>
      </c>
    </row>
    <row r="196" spans="1:12" ht="14" x14ac:dyDescent="0.15">
      <c r="A196" s="7" t="s">
        <v>213</v>
      </c>
      <c r="B196" s="31">
        <f t="shared" si="0"/>
        <v>0.5</v>
      </c>
      <c r="C196" s="31">
        <f ca="1">IFERROR(__xludf.DUMMYFUNCTION("IFERROR(STDEV.S(FILTER(H196:K196, H196:K196&lt;&gt;"""")))"),0.0424264068711928)</f>
        <v>4.2426406871192798E-2</v>
      </c>
      <c r="D196" s="49">
        <v>8.4852813740000005E-2</v>
      </c>
      <c r="F196" s="40"/>
      <c r="G196" s="27">
        <v>530000</v>
      </c>
      <c r="I196" s="6">
        <f t="shared" si="1"/>
        <v>0.53</v>
      </c>
      <c r="J196" s="6"/>
      <c r="K196" s="6"/>
      <c r="L196" s="6">
        <v>0.47</v>
      </c>
    </row>
    <row r="197" spans="1:12" ht="13" x14ac:dyDescent="0.15">
      <c r="A197" s="7"/>
      <c r="B197" s="31"/>
      <c r="C197" s="31"/>
      <c r="D197" s="49"/>
      <c r="F197" s="40"/>
      <c r="G197" s="27"/>
      <c r="I197" s="6"/>
      <c r="J197" s="6"/>
      <c r="K197" s="6"/>
    </row>
    <row r="198" spans="1:12" ht="13" x14ac:dyDescent="0.15">
      <c r="A198" s="7"/>
      <c r="B198" s="31"/>
      <c r="C198" s="31"/>
      <c r="D198" s="49"/>
      <c r="F198" s="40"/>
      <c r="G198" s="27"/>
      <c r="I198" s="6"/>
      <c r="J198" s="6"/>
      <c r="K198" s="6"/>
    </row>
    <row r="199" spans="1:12" ht="13" x14ac:dyDescent="0.15">
      <c r="A199" s="7"/>
      <c r="B199" s="31"/>
      <c r="C199" s="31"/>
      <c r="D199" s="49"/>
      <c r="F199" s="40"/>
      <c r="G199" s="27"/>
      <c r="I199" s="6"/>
      <c r="J199" s="6"/>
      <c r="K199" s="6"/>
      <c r="L199" s="6"/>
    </row>
    <row r="200" spans="1:12" ht="13" x14ac:dyDescent="0.15">
      <c r="A200" s="7"/>
      <c r="B200" s="31"/>
      <c r="C200" s="31"/>
      <c r="D200" s="49"/>
      <c r="F200" s="40"/>
      <c r="G200" s="27"/>
      <c r="I200" s="6"/>
      <c r="J200" s="6"/>
      <c r="K200" s="6"/>
    </row>
    <row r="201" spans="1:12" ht="13" x14ac:dyDescent="0.15">
      <c r="A201" s="7"/>
      <c r="B201" s="31"/>
      <c r="C201" s="31"/>
      <c r="D201" s="49"/>
      <c r="F201" s="40"/>
      <c r="G201" s="27"/>
      <c r="I201" s="6"/>
      <c r="J201" s="6"/>
      <c r="K201" s="6"/>
      <c r="L201" s="6"/>
    </row>
    <row r="202" spans="1:12" ht="13" x14ac:dyDescent="0.15">
      <c r="A202" s="7"/>
      <c r="B202" s="31"/>
      <c r="C202" s="31"/>
      <c r="D202" s="49"/>
      <c r="F202" s="40"/>
      <c r="G202" s="27"/>
      <c r="I202" s="6"/>
      <c r="J202" s="6"/>
      <c r="K202" s="6"/>
      <c r="L202" s="6"/>
    </row>
    <row r="203" spans="1:12" ht="13" x14ac:dyDescent="0.15">
      <c r="A203" s="7"/>
      <c r="B203" s="31"/>
      <c r="C203" s="31"/>
      <c r="D203" s="49"/>
      <c r="F203" s="40"/>
      <c r="G203" s="27"/>
      <c r="I203" s="6"/>
      <c r="J203" s="6"/>
      <c r="K203" s="6"/>
      <c r="L203" s="6"/>
    </row>
    <row r="204" spans="1:12" ht="13" x14ac:dyDescent="0.15">
      <c r="A204" s="7"/>
      <c r="B204" s="31"/>
      <c r="C204" s="31"/>
      <c r="D204" s="49"/>
      <c r="F204" s="40"/>
      <c r="G204" s="27"/>
      <c r="I204" s="6"/>
      <c r="J204" s="6"/>
      <c r="K204" s="6"/>
      <c r="L204" s="6"/>
    </row>
    <row r="205" spans="1:12" ht="13" x14ac:dyDescent="0.15">
      <c r="A205" s="7"/>
      <c r="B205" s="31"/>
      <c r="C205" s="31"/>
      <c r="D205" s="49"/>
      <c r="F205" s="40"/>
      <c r="G205" s="27"/>
      <c r="I205" s="6"/>
      <c r="J205" s="6"/>
      <c r="K205" s="6"/>
      <c r="L205" s="6"/>
    </row>
    <row r="206" spans="1:12" ht="13" x14ac:dyDescent="0.15">
      <c r="A206" s="7"/>
      <c r="B206" s="31"/>
      <c r="C206" s="31"/>
      <c r="D206" s="49"/>
      <c r="F206" s="40"/>
      <c r="G206" s="27"/>
      <c r="I206" s="6"/>
      <c r="J206" s="6"/>
      <c r="K206" s="6"/>
    </row>
    <row r="207" spans="1:12" ht="13" x14ac:dyDescent="0.15">
      <c r="A207" s="7"/>
      <c r="B207" s="31"/>
      <c r="C207" s="31"/>
      <c r="D207" s="49"/>
      <c r="F207" s="40"/>
      <c r="G207" s="27"/>
      <c r="I207" s="6"/>
      <c r="J207" s="6"/>
      <c r="K207" s="6"/>
    </row>
    <row r="208" spans="1:12" ht="13" x14ac:dyDescent="0.15">
      <c r="A208" s="7"/>
      <c r="B208" s="31"/>
      <c r="C208" s="31"/>
      <c r="D208" s="49"/>
      <c r="F208" s="40"/>
      <c r="G208" s="27"/>
      <c r="I208" s="6"/>
      <c r="J208" s="6"/>
      <c r="K208" s="6"/>
      <c r="L208" s="6"/>
    </row>
    <row r="209" spans="1:12" ht="13" x14ac:dyDescent="0.15">
      <c r="A209" s="7"/>
      <c r="B209" s="31"/>
      <c r="C209" s="31"/>
      <c r="D209" s="49"/>
      <c r="F209" s="40"/>
      <c r="G209" s="27"/>
      <c r="I209" s="6"/>
      <c r="J209" s="6"/>
      <c r="K209" s="6"/>
      <c r="L209" s="6"/>
    </row>
    <row r="210" spans="1:12" ht="13" x14ac:dyDescent="0.15">
      <c r="A210" s="7"/>
      <c r="B210" s="31"/>
      <c r="C210" s="31"/>
      <c r="D210" s="49"/>
      <c r="F210" s="40"/>
      <c r="G210" s="27"/>
      <c r="I210" s="6"/>
      <c r="J210" s="6"/>
      <c r="K210" s="6"/>
      <c r="L210" s="6"/>
    </row>
    <row r="211" spans="1:12" ht="13" x14ac:dyDescent="0.15">
      <c r="A211" s="7"/>
      <c r="B211" s="31"/>
      <c r="C211" s="31"/>
      <c r="D211" s="31"/>
      <c r="F211" s="40"/>
    </row>
    <row r="212" spans="1:12" ht="13" x14ac:dyDescent="0.15">
      <c r="A212" s="7"/>
      <c r="B212" s="31"/>
      <c r="C212" s="31"/>
      <c r="D212" s="31"/>
      <c r="F212" s="40"/>
    </row>
    <row r="213" spans="1:12" ht="13" x14ac:dyDescent="0.15">
      <c r="A213" s="7"/>
      <c r="B213" s="31"/>
      <c r="C213" s="31" t="str">
        <f ca="1">IFERROR(__xludf.DUMMYFUNCTION("IFERROR(STDEV.S(FILTER(H213:K213, H213:K213&lt;&gt;"""")))"),"")</f>
        <v/>
      </c>
      <c r="D213" s="31"/>
      <c r="F213" s="40"/>
    </row>
    <row r="214" spans="1:12" ht="13" x14ac:dyDescent="0.15">
      <c r="A214" s="7"/>
      <c r="B214" s="31"/>
      <c r="C214" s="31" t="str">
        <f ca="1">IFERROR(__xludf.DUMMYFUNCTION("IFERROR(STDEV.S(FILTER(H214:K214, H214:K214&lt;&gt;"""")))"),"")</f>
        <v/>
      </c>
      <c r="D214" s="31"/>
      <c r="F214" s="40"/>
    </row>
    <row r="215" spans="1:12" ht="13" x14ac:dyDescent="0.15">
      <c r="A215" s="7"/>
      <c r="B215" s="31"/>
      <c r="C215" s="31" t="str">
        <f ca="1">IFERROR(__xludf.DUMMYFUNCTION("IFERROR(STDEV.S(FILTER(H215:K215, H215:K215&lt;&gt;"""")))"),"")</f>
        <v/>
      </c>
      <c r="D215" s="31"/>
      <c r="F215" s="40"/>
    </row>
    <row r="216" spans="1:12" ht="13" x14ac:dyDescent="0.15">
      <c r="A216" s="7"/>
      <c r="B216" s="31"/>
      <c r="C216" s="31" t="str">
        <f ca="1">IFERROR(__xludf.DUMMYFUNCTION("IFERROR(STDEV.S(FILTER(H216:K216, H216:K216&lt;&gt;"""")))"),"")</f>
        <v/>
      </c>
      <c r="D216" s="31"/>
      <c r="F216" s="40"/>
    </row>
    <row r="217" spans="1:12" ht="13" x14ac:dyDescent="0.15">
      <c r="A217" s="7"/>
      <c r="B217" s="31"/>
      <c r="C217" s="31" t="str">
        <f ca="1">IFERROR(__xludf.DUMMYFUNCTION("IFERROR(STDEV.S(FILTER(H217:K217, H217:K217&lt;&gt;"""")))"),"")</f>
        <v/>
      </c>
      <c r="D217" s="31"/>
      <c r="F217" s="40"/>
    </row>
    <row r="218" spans="1:12" ht="13" x14ac:dyDescent="0.15">
      <c r="A218" s="7"/>
      <c r="B218" s="31"/>
      <c r="C218" s="31" t="str">
        <f ca="1">IFERROR(__xludf.DUMMYFUNCTION("IFERROR(STDEV.S(FILTER(H218:K218, H218:K218&lt;&gt;"""")))"),"")</f>
        <v/>
      </c>
      <c r="D218" s="31"/>
      <c r="F218" s="40"/>
    </row>
    <row r="219" spans="1:12" ht="13" x14ac:dyDescent="0.15">
      <c r="A219" s="7"/>
      <c r="B219" s="31"/>
      <c r="C219" s="31" t="str">
        <f ca="1">IFERROR(__xludf.DUMMYFUNCTION("IFERROR(STDEV.S(FILTER(H219:K219, H219:K219&lt;&gt;"""")))"),"")</f>
        <v/>
      </c>
      <c r="D219" s="31"/>
      <c r="F219" s="40"/>
    </row>
    <row r="220" spans="1:12" ht="13" x14ac:dyDescent="0.15">
      <c r="A220" s="7"/>
      <c r="B220" s="31"/>
      <c r="C220" s="31"/>
      <c r="D220" s="31"/>
      <c r="F220" s="40"/>
    </row>
    <row r="221" spans="1:12" ht="13" x14ac:dyDescent="0.15">
      <c r="A221" s="7"/>
      <c r="B221" s="31"/>
      <c r="C221" s="31"/>
      <c r="D221" s="31"/>
      <c r="F221" s="40"/>
    </row>
    <row r="222" spans="1:12" ht="13" x14ac:dyDescent="0.15">
      <c r="A222" s="7"/>
      <c r="B222" s="31"/>
      <c r="C222" s="31"/>
      <c r="D222" s="31"/>
      <c r="F222" s="40"/>
    </row>
    <row r="223" spans="1:12" ht="13" x14ac:dyDescent="0.15">
      <c r="A223" s="7"/>
      <c r="B223" s="31"/>
      <c r="C223" s="31"/>
      <c r="D223" s="31"/>
      <c r="F223" s="40"/>
    </row>
    <row r="224" spans="1:12" ht="13" x14ac:dyDescent="0.15">
      <c r="A224" s="7"/>
      <c r="B224" s="31"/>
      <c r="C224" s="31"/>
      <c r="D224" s="31"/>
      <c r="F224" s="40"/>
    </row>
    <row r="225" spans="1:6" ht="13" x14ac:dyDescent="0.15">
      <c r="A225" s="7"/>
      <c r="B225" s="31"/>
      <c r="C225" s="31"/>
      <c r="D225" s="31"/>
      <c r="F225" s="40"/>
    </row>
    <row r="226" spans="1:6" ht="13" x14ac:dyDescent="0.15">
      <c r="A226" s="7"/>
      <c r="B226" s="31"/>
      <c r="C226" s="31"/>
      <c r="D226" s="31"/>
      <c r="F226" s="40"/>
    </row>
    <row r="227" spans="1:6" ht="13" x14ac:dyDescent="0.15">
      <c r="A227" s="7"/>
      <c r="B227" s="31"/>
      <c r="C227" s="31"/>
      <c r="D227" s="31"/>
      <c r="F227" s="40"/>
    </row>
    <row r="228" spans="1:6" ht="13" x14ac:dyDescent="0.15">
      <c r="A228" s="7"/>
      <c r="B228" s="31"/>
      <c r="C228" s="31"/>
      <c r="D228" s="31"/>
      <c r="F228" s="40"/>
    </row>
    <row r="229" spans="1:6" ht="13" x14ac:dyDescent="0.15">
      <c r="A229" s="7"/>
      <c r="B229" s="31"/>
      <c r="C229" s="31"/>
      <c r="D229" s="31"/>
      <c r="F229" s="40"/>
    </row>
    <row r="230" spans="1:6" ht="13" x14ac:dyDescent="0.15">
      <c r="A230" s="7"/>
      <c r="B230" s="31"/>
      <c r="C230" s="31"/>
      <c r="D230" s="31"/>
      <c r="F230" s="40"/>
    </row>
    <row r="231" spans="1:6" ht="13" x14ac:dyDescent="0.15">
      <c r="A231" s="7"/>
      <c r="B231" s="31"/>
      <c r="C231" s="31"/>
      <c r="D231" s="31"/>
      <c r="F231" s="40"/>
    </row>
    <row r="232" spans="1:6" ht="13" x14ac:dyDescent="0.15">
      <c r="A232" s="7"/>
      <c r="B232" s="31"/>
      <c r="C232" s="31"/>
      <c r="D232" s="31"/>
      <c r="F232" s="40"/>
    </row>
    <row r="233" spans="1:6" ht="13" x14ac:dyDescent="0.15">
      <c r="A233" s="7"/>
      <c r="B233" s="31"/>
      <c r="C233" s="31"/>
      <c r="D233" s="31"/>
      <c r="F233" s="40"/>
    </row>
    <row r="234" spans="1:6" ht="13" x14ac:dyDescent="0.15">
      <c r="A234" s="7"/>
      <c r="B234" s="31"/>
      <c r="C234" s="31"/>
      <c r="D234" s="31"/>
      <c r="F234" s="40"/>
    </row>
    <row r="235" spans="1:6" ht="13" x14ac:dyDescent="0.15">
      <c r="A235" s="7"/>
      <c r="B235" s="31"/>
      <c r="C235" s="31"/>
      <c r="D235" s="31"/>
      <c r="F235" s="40"/>
    </row>
    <row r="236" spans="1:6" ht="13" x14ac:dyDescent="0.15">
      <c r="A236" s="7"/>
      <c r="B236" s="31"/>
      <c r="C236" s="31"/>
      <c r="D236" s="31"/>
      <c r="F236" s="40"/>
    </row>
    <row r="237" spans="1:6" ht="13" x14ac:dyDescent="0.15">
      <c r="A237" s="7"/>
      <c r="B237" s="31"/>
      <c r="C237" s="31"/>
      <c r="D237" s="31"/>
      <c r="F237" s="40"/>
    </row>
    <row r="238" spans="1:6" ht="13" x14ac:dyDescent="0.15">
      <c r="A238" s="7"/>
      <c r="B238" s="31"/>
      <c r="C238" s="31"/>
      <c r="D238" s="31"/>
      <c r="F238" s="40"/>
    </row>
    <row r="239" spans="1:6" ht="13" x14ac:dyDescent="0.15">
      <c r="A239" s="7"/>
      <c r="B239" s="31"/>
      <c r="C239" s="31"/>
      <c r="D239" s="31"/>
      <c r="F239" s="40"/>
    </row>
    <row r="240" spans="1:6" ht="13" x14ac:dyDescent="0.15">
      <c r="A240" s="7"/>
      <c r="B240" s="31"/>
      <c r="C240" s="31"/>
      <c r="D240" s="31"/>
      <c r="F240" s="40"/>
    </row>
    <row r="241" spans="1:6" ht="13" x14ac:dyDescent="0.15">
      <c r="A241" s="7"/>
      <c r="B241" s="31"/>
      <c r="C241" s="31"/>
      <c r="D241" s="31"/>
      <c r="F241" s="40"/>
    </row>
    <row r="242" spans="1:6" ht="13" x14ac:dyDescent="0.15">
      <c r="A242" s="7"/>
      <c r="B242" s="31"/>
      <c r="C242" s="31"/>
      <c r="D242" s="31"/>
      <c r="F242" s="40"/>
    </row>
    <row r="243" spans="1:6" ht="13" x14ac:dyDescent="0.15">
      <c r="A243" s="7"/>
      <c r="B243" s="31"/>
      <c r="C243" s="31"/>
      <c r="D243" s="31"/>
      <c r="F243" s="40"/>
    </row>
    <row r="244" spans="1:6" ht="13" x14ac:dyDescent="0.15">
      <c r="A244" s="7"/>
      <c r="B244" s="31"/>
      <c r="C244" s="31"/>
      <c r="D244" s="31"/>
      <c r="F244" s="40"/>
    </row>
    <row r="245" spans="1:6" ht="13" x14ac:dyDescent="0.15">
      <c r="A245" s="7"/>
      <c r="B245" s="31"/>
      <c r="C245" s="31"/>
      <c r="D245" s="31"/>
      <c r="F245" s="40"/>
    </row>
    <row r="246" spans="1:6" ht="13" x14ac:dyDescent="0.15">
      <c r="A246" s="7"/>
      <c r="B246" s="31"/>
      <c r="C246" s="31"/>
      <c r="D246" s="31"/>
      <c r="F246" s="40"/>
    </row>
    <row r="247" spans="1:6" ht="13" x14ac:dyDescent="0.15">
      <c r="A247" s="7"/>
      <c r="B247" s="31"/>
      <c r="C247" s="31"/>
      <c r="D247" s="31"/>
      <c r="F247" s="40"/>
    </row>
    <row r="248" spans="1:6" ht="13" x14ac:dyDescent="0.15">
      <c r="A248" s="7"/>
      <c r="B248" s="31"/>
      <c r="C248" s="31"/>
      <c r="D248" s="31"/>
      <c r="F248" s="40"/>
    </row>
    <row r="249" spans="1:6" ht="13" x14ac:dyDescent="0.15">
      <c r="A249" s="7"/>
      <c r="B249" s="31"/>
      <c r="C249" s="31"/>
      <c r="D249" s="31"/>
      <c r="F249" s="40"/>
    </row>
    <row r="250" spans="1:6" ht="13" x14ac:dyDescent="0.15">
      <c r="A250" s="7"/>
      <c r="B250" s="31"/>
      <c r="C250" s="31"/>
      <c r="D250" s="31"/>
      <c r="F250" s="40"/>
    </row>
    <row r="251" spans="1:6" ht="13" x14ac:dyDescent="0.15">
      <c r="A251" s="7"/>
      <c r="B251" s="31"/>
      <c r="C251" s="31"/>
      <c r="D251" s="31"/>
      <c r="F251" s="40"/>
    </row>
    <row r="252" spans="1:6" ht="13" x14ac:dyDescent="0.15">
      <c r="A252" s="7"/>
      <c r="B252" s="31"/>
      <c r="C252" s="31"/>
      <c r="D252" s="31"/>
      <c r="F252" s="40"/>
    </row>
    <row r="253" spans="1:6" ht="13" x14ac:dyDescent="0.15">
      <c r="A253" s="7"/>
      <c r="B253" s="31"/>
      <c r="C253" s="31"/>
      <c r="D253" s="31"/>
      <c r="F253" s="40"/>
    </row>
    <row r="254" spans="1:6" ht="13" x14ac:dyDescent="0.15">
      <c r="A254" s="7"/>
      <c r="B254" s="31"/>
      <c r="C254" s="31"/>
      <c r="D254" s="31"/>
      <c r="F254" s="40"/>
    </row>
    <row r="255" spans="1:6" ht="13" x14ac:dyDescent="0.15">
      <c r="A255" s="7"/>
      <c r="B255" s="31"/>
      <c r="C255" s="31"/>
      <c r="D255" s="31"/>
      <c r="F255" s="40"/>
    </row>
    <row r="256" spans="1:6" ht="13" x14ac:dyDescent="0.15">
      <c r="A256" s="7"/>
      <c r="B256" s="31"/>
      <c r="C256" s="31"/>
      <c r="D256" s="31"/>
      <c r="F256" s="40"/>
    </row>
    <row r="257" spans="1:6" ht="13" x14ac:dyDescent="0.15">
      <c r="A257" s="7"/>
      <c r="B257" s="31"/>
      <c r="C257" s="31"/>
      <c r="D257" s="31"/>
      <c r="F257" s="40"/>
    </row>
    <row r="258" spans="1:6" ht="13" x14ac:dyDescent="0.15">
      <c r="A258" s="7"/>
      <c r="B258" s="31"/>
      <c r="C258" s="31"/>
      <c r="D258" s="31"/>
      <c r="F258" s="40"/>
    </row>
    <row r="259" spans="1:6" ht="13" x14ac:dyDescent="0.15">
      <c r="A259" s="7"/>
      <c r="B259" s="31"/>
      <c r="C259" s="31"/>
      <c r="D259" s="31"/>
      <c r="F259" s="40"/>
    </row>
    <row r="260" spans="1:6" ht="13" x14ac:dyDescent="0.15">
      <c r="A260" s="7"/>
      <c r="B260" s="31"/>
      <c r="C260" s="31"/>
      <c r="D260" s="31"/>
      <c r="F260" s="40"/>
    </row>
    <row r="261" spans="1:6" ht="13" x14ac:dyDescent="0.15">
      <c r="A261" s="7"/>
      <c r="B261" s="31"/>
      <c r="C261" s="31"/>
      <c r="D261" s="31"/>
      <c r="F261" s="40"/>
    </row>
    <row r="262" spans="1:6" ht="13" x14ac:dyDescent="0.15">
      <c r="A262" s="7"/>
      <c r="B262" s="31"/>
      <c r="C262" s="31"/>
      <c r="D262" s="31"/>
      <c r="F262" s="40"/>
    </row>
    <row r="263" spans="1:6" ht="13" x14ac:dyDescent="0.15">
      <c r="A263" s="7"/>
      <c r="B263" s="31"/>
      <c r="C263" s="31"/>
      <c r="D263" s="31"/>
      <c r="F263" s="40"/>
    </row>
    <row r="264" spans="1:6" ht="13" x14ac:dyDescent="0.15">
      <c r="A264" s="7"/>
      <c r="B264" s="31"/>
      <c r="C264" s="31"/>
      <c r="D264" s="31"/>
      <c r="F264" s="40"/>
    </row>
    <row r="265" spans="1:6" ht="13" x14ac:dyDescent="0.15">
      <c r="A265" s="7"/>
      <c r="B265" s="31"/>
      <c r="C265" s="31"/>
      <c r="D265" s="31"/>
      <c r="F265" s="40"/>
    </row>
    <row r="266" spans="1:6" ht="13" x14ac:dyDescent="0.15">
      <c r="A266" s="7"/>
      <c r="B266" s="31"/>
      <c r="C266" s="31"/>
      <c r="D266" s="31"/>
      <c r="F266" s="40"/>
    </row>
    <row r="267" spans="1:6" ht="13" x14ac:dyDescent="0.15">
      <c r="A267" s="7"/>
      <c r="B267" s="31"/>
      <c r="C267" s="31"/>
      <c r="D267" s="31"/>
      <c r="F267" s="40"/>
    </row>
    <row r="268" spans="1:6" ht="13" x14ac:dyDescent="0.15">
      <c r="A268" s="7"/>
      <c r="B268" s="31"/>
      <c r="C268" s="31"/>
      <c r="D268" s="31"/>
      <c r="F268" s="40"/>
    </row>
    <row r="269" spans="1:6" ht="13" x14ac:dyDescent="0.15">
      <c r="A269" s="7"/>
      <c r="B269" s="31"/>
      <c r="C269" s="31"/>
      <c r="D269" s="31"/>
      <c r="F269" s="40"/>
    </row>
    <row r="270" spans="1:6" ht="13" x14ac:dyDescent="0.15">
      <c r="A270" s="7"/>
      <c r="B270" s="31"/>
      <c r="C270" s="31"/>
      <c r="D270" s="31"/>
      <c r="F270" s="40"/>
    </row>
    <row r="271" spans="1:6" ht="13" x14ac:dyDescent="0.15">
      <c r="A271" s="7"/>
      <c r="B271" s="31"/>
      <c r="C271" s="31"/>
      <c r="D271" s="31"/>
      <c r="F271" s="40"/>
    </row>
    <row r="272" spans="1:6" ht="13" x14ac:dyDescent="0.15">
      <c r="A272" s="7"/>
      <c r="B272" s="31"/>
      <c r="C272" s="31"/>
      <c r="D272" s="31"/>
      <c r="F272" s="40"/>
    </row>
    <row r="273" spans="1:6" ht="13" x14ac:dyDescent="0.15">
      <c r="A273" s="7"/>
      <c r="B273" s="31"/>
      <c r="C273" s="31"/>
      <c r="D273" s="31"/>
      <c r="F273" s="40"/>
    </row>
    <row r="274" spans="1:6" ht="13" x14ac:dyDescent="0.15">
      <c r="A274" s="7"/>
      <c r="B274" s="31"/>
      <c r="C274" s="31"/>
      <c r="D274" s="31"/>
      <c r="F274" s="40"/>
    </row>
    <row r="275" spans="1:6" ht="13" x14ac:dyDescent="0.15">
      <c r="A275" s="7"/>
      <c r="B275" s="31"/>
      <c r="C275" s="31"/>
      <c r="D275" s="31"/>
      <c r="F275" s="40"/>
    </row>
    <row r="276" spans="1:6" ht="13" x14ac:dyDescent="0.15">
      <c r="A276" s="7"/>
      <c r="B276" s="31"/>
      <c r="C276" s="31"/>
      <c r="D276" s="31"/>
      <c r="F276" s="40"/>
    </row>
    <row r="277" spans="1:6" ht="13" x14ac:dyDescent="0.15">
      <c r="A277" s="7"/>
      <c r="B277" s="31"/>
      <c r="C277" s="31"/>
      <c r="D277" s="31"/>
      <c r="F277" s="40"/>
    </row>
    <row r="278" spans="1:6" ht="13" x14ac:dyDescent="0.15">
      <c r="A278" s="7"/>
      <c r="B278" s="31"/>
      <c r="C278" s="31"/>
      <c r="D278" s="31"/>
      <c r="F278" s="40"/>
    </row>
    <row r="279" spans="1:6" ht="13" x14ac:dyDescent="0.15">
      <c r="A279" s="7"/>
      <c r="B279" s="31"/>
      <c r="C279" s="31"/>
      <c r="D279" s="31"/>
      <c r="F279" s="40"/>
    </row>
    <row r="280" spans="1:6" ht="13" x14ac:dyDescent="0.15">
      <c r="A280" s="7"/>
      <c r="B280" s="31"/>
      <c r="C280" s="31"/>
      <c r="D280" s="31"/>
      <c r="F280" s="40"/>
    </row>
    <row r="281" spans="1:6" ht="13" x14ac:dyDescent="0.15">
      <c r="A281" s="7"/>
      <c r="B281" s="31"/>
      <c r="C281" s="31"/>
      <c r="D281" s="31"/>
      <c r="F281" s="40"/>
    </row>
    <row r="282" spans="1:6" ht="13" x14ac:dyDescent="0.15">
      <c r="A282" s="7"/>
      <c r="B282" s="31"/>
      <c r="C282" s="31"/>
      <c r="D282" s="31"/>
      <c r="F282" s="40"/>
    </row>
    <row r="283" spans="1:6" ht="13" x14ac:dyDescent="0.15">
      <c r="A283" s="7"/>
      <c r="B283" s="31"/>
      <c r="C283" s="31"/>
      <c r="D283" s="31"/>
      <c r="F283" s="40"/>
    </row>
    <row r="284" spans="1:6" ht="13" x14ac:dyDescent="0.15">
      <c r="A284" s="7"/>
      <c r="B284" s="31"/>
      <c r="C284" s="31"/>
      <c r="D284" s="31"/>
      <c r="F284" s="40"/>
    </row>
    <row r="285" spans="1:6" ht="13" x14ac:dyDescent="0.15">
      <c r="A285" s="7"/>
      <c r="B285" s="31"/>
      <c r="C285" s="31"/>
      <c r="D285" s="31"/>
      <c r="F285" s="40"/>
    </row>
    <row r="286" spans="1:6" ht="13" x14ac:dyDescent="0.15">
      <c r="A286" s="7"/>
      <c r="B286" s="31"/>
      <c r="C286" s="31"/>
      <c r="D286" s="31"/>
      <c r="F286" s="40"/>
    </row>
    <row r="287" spans="1:6" ht="13" x14ac:dyDescent="0.15">
      <c r="A287" s="7"/>
      <c r="B287" s="31"/>
      <c r="C287" s="31"/>
      <c r="D287" s="31"/>
      <c r="F287" s="40"/>
    </row>
    <row r="288" spans="1:6" ht="13" x14ac:dyDescent="0.15">
      <c r="A288" s="7"/>
      <c r="B288" s="31"/>
      <c r="C288" s="31"/>
      <c r="D288" s="31"/>
      <c r="F288" s="40"/>
    </row>
    <row r="289" spans="1:6" ht="13" x14ac:dyDescent="0.15">
      <c r="A289" s="7"/>
      <c r="B289" s="31"/>
      <c r="C289" s="31"/>
      <c r="D289" s="31"/>
      <c r="F289" s="40"/>
    </row>
    <row r="290" spans="1:6" ht="13" x14ac:dyDescent="0.15">
      <c r="A290" s="7"/>
      <c r="B290" s="31"/>
      <c r="C290" s="31"/>
      <c r="D290" s="31"/>
      <c r="F290" s="40"/>
    </row>
    <row r="291" spans="1:6" ht="13" x14ac:dyDescent="0.15">
      <c r="A291" s="7"/>
      <c r="B291" s="31"/>
      <c r="C291" s="31"/>
      <c r="D291" s="31"/>
      <c r="F291" s="40"/>
    </row>
    <row r="292" spans="1:6" ht="13" x14ac:dyDescent="0.15">
      <c r="A292" s="7"/>
      <c r="B292" s="31"/>
      <c r="C292" s="31"/>
      <c r="D292" s="31"/>
      <c r="F292" s="40"/>
    </row>
    <row r="293" spans="1:6" ht="13" x14ac:dyDescent="0.15">
      <c r="A293" s="7"/>
      <c r="B293" s="31"/>
      <c r="C293" s="31"/>
      <c r="D293" s="31"/>
      <c r="F293" s="40"/>
    </row>
    <row r="294" spans="1:6" ht="13" x14ac:dyDescent="0.15">
      <c r="A294" s="7"/>
      <c r="B294" s="31"/>
      <c r="C294" s="31"/>
      <c r="D294" s="31"/>
      <c r="F294" s="40"/>
    </row>
    <row r="295" spans="1:6" ht="13" x14ac:dyDescent="0.15">
      <c r="A295" s="7"/>
      <c r="B295" s="31"/>
      <c r="C295" s="31"/>
      <c r="D295" s="31"/>
      <c r="F295" s="40"/>
    </row>
    <row r="296" spans="1:6" ht="13" x14ac:dyDescent="0.15">
      <c r="A296" s="7"/>
      <c r="B296" s="31"/>
      <c r="C296" s="31"/>
      <c r="D296" s="31"/>
      <c r="F296" s="40"/>
    </row>
    <row r="297" spans="1:6" ht="13" x14ac:dyDescent="0.15">
      <c r="A297" s="7"/>
      <c r="B297" s="31"/>
      <c r="C297" s="31"/>
      <c r="D297" s="31"/>
      <c r="F297" s="40"/>
    </row>
    <row r="298" spans="1:6" ht="13" x14ac:dyDescent="0.15">
      <c r="A298" s="7"/>
      <c r="B298" s="31"/>
      <c r="C298" s="31"/>
      <c r="D298" s="31"/>
      <c r="F298" s="40"/>
    </row>
    <row r="299" spans="1:6" ht="13" x14ac:dyDescent="0.15">
      <c r="A299" s="7"/>
      <c r="B299" s="31"/>
      <c r="C299" s="31"/>
      <c r="D299" s="31"/>
      <c r="F299" s="40"/>
    </row>
    <row r="300" spans="1:6" ht="13" x14ac:dyDescent="0.15">
      <c r="A300" s="7"/>
      <c r="B300" s="31"/>
      <c r="C300" s="31"/>
      <c r="D300" s="31"/>
      <c r="F300" s="40"/>
    </row>
    <row r="301" spans="1:6" ht="13" x14ac:dyDescent="0.15">
      <c r="A301" s="7"/>
      <c r="B301" s="31"/>
      <c r="C301" s="31"/>
      <c r="D301" s="31"/>
      <c r="F301" s="40"/>
    </row>
    <row r="302" spans="1:6" ht="13" x14ac:dyDescent="0.15">
      <c r="A302" s="7"/>
      <c r="B302" s="31"/>
      <c r="C302" s="31"/>
      <c r="D302" s="31"/>
      <c r="F302" s="40"/>
    </row>
    <row r="303" spans="1:6" ht="13" x14ac:dyDescent="0.15">
      <c r="A303" s="7"/>
      <c r="B303" s="31"/>
      <c r="C303" s="31"/>
      <c r="D303" s="31"/>
      <c r="F303" s="40"/>
    </row>
    <row r="304" spans="1:6" ht="13" x14ac:dyDescent="0.15">
      <c r="A304" s="7"/>
      <c r="B304" s="31"/>
      <c r="C304" s="31"/>
      <c r="D304" s="31"/>
      <c r="F304" s="40"/>
    </row>
    <row r="305" spans="1:6" ht="13" x14ac:dyDescent="0.15">
      <c r="A305" s="7"/>
      <c r="B305" s="31"/>
      <c r="C305" s="31"/>
      <c r="D305" s="31"/>
      <c r="F305" s="40"/>
    </row>
    <row r="306" spans="1:6" ht="13" x14ac:dyDescent="0.15">
      <c r="A306" s="7"/>
      <c r="B306" s="31"/>
      <c r="C306" s="31"/>
      <c r="D306" s="31"/>
      <c r="F306" s="40"/>
    </row>
    <row r="307" spans="1:6" ht="13" x14ac:dyDescent="0.15">
      <c r="A307" s="7"/>
      <c r="B307" s="31"/>
      <c r="C307" s="31"/>
      <c r="D307" s="31"/>
      <c r="F307" s="40"/>
    </row>
    <row r="308" spans="1:6" ht="13" x14ac:dyDescent="0.15">
      <c r="A308" s="7"/>
      <c r="B308" s="31"/>
      <c r="C308" s="31"/>
      <c r="D308" s="31"/>
      <c r="F308" s="40"/>
    </row>
    <row r="309" spans="1:6" ht="13" x14ac:dyDescent="0.15">
      <c r="A309" s="7"/>
      <c r="B309" s="31"/>
      <c r="C309" s="31"/>
      <c r="D309" s="31"/>
      <c r="F309" s="40"/>
    </row>
    <row r="310" spans="1:6" ht="13" x14ac:dyDescent="0.15">
      <c r="A310" s="7"/>
      <c r="B310" s="31"/>
      <c r="C310" s="31"/>
      <c r="D310" s="31"/>
      <c r="F310" s="40"/>
    </row>
    <row r="311" spans="1:6" ht="13" x14ac:dyDescent="0.15">
      <c r="A311" s="7"/>
      <c r="B311" s="31"/>
      <c r="C311" s="31"/>
      <c r="D311" s="31"/>
      <c r="F311" s="40"/>
    </row>
    <row r="312" spans="1:6" ht="13" x14ac:dyDescent="0.15">
      <c r="A312" s="7"/>
      <c r="B312" s="31"/>
      <c r="C312" s="31"/>
      <c r="D312" s="31"/>
      <c r="F312" s="40"/>
    </row>
    <row r="313" spans="1:6" ht="13" x14ac:dyDescent="0.15">
      <c r="A313" s="7"/>
      <c r="B313" s="31"/>
      <c r="C313" s="31"/>
      <c r="D313" s="31"/>
      <c r="F313" s="40"/>
    </row>
    <row r="314" spans="1:6" ht="13" x14ac:dyDescent="0.15">
      <c r="A314" s="7"/>
      <c r="B314" s="31"/>
      <c r="C314" s="31"/>
      <c r="D314" s="31"/>
      <c r="F314" s="40"/>
    </row>
    <row r="315" spans="1:6" ht="13" x14ac:dyDescent="0.15">
      <c r="A315" s="7"/>
      <c r="B315" s="31"/>
      <c r="C315" s="31"/>
      <c r="D315" s="31"/>
      <c r="F315" s="40"/>
    </row>
    <row r="316" spans="1:6" ht="13" x14ac:dyDescent="0.15">
      <c r="A316" s="7"/>
      <c r="B316" s="31"/>
      <c r="C316" s="31"/>
      <c r="D316" s="31"/>
      <c r="F316" s="40"/>
    </row>
    <row r="317" spans="1:6" ht="13" x14ac:dyDescent="0.15">
      <c r="A317" s="7"/>
      <c r="B317" s="31"/>
      <c r="C317" s="31"/>
      <c r="D317" s="31"/>
      <c r="F317" s="40"/>
    </row>
    <row r="318" spans="1:6" ht="13" x14ac:dyDescent="0.15">
      <c r="A318" s="7"/>
      <c r="B318" s="31"/>
      <c r="C318" s="31"/>
      <c r="D318" s="31"/>
      <c r="F318" s="40"/>
    </row>
    <row r="319" spans="1:6" ht="13" x14ac:dyDescent="0.15">
      <c r="A319" s="7"/>
      <c r="B319" s="31"/>
      <c r="C319" s="31"/>
      <c r="D319" s="31"/>
      <c r="F319" s="40"/>
    </row>
    <row r="320" spans="1:6" ht="13" x14ac:dyDescent="0.15">
      <c r="A320" s="7"/>
      <c r="B320" s="31"/>
      <c r="C320" s="31"/>
      <c r="D320" s="31"/>
      <c r="F320" s="40"/>
    </row>
    <row r="321" spans="1:6" ht="13" x14ac:dyDescent="0.15">
      <c r="A321" s="7"/>
      <c r="B321" s="31"/>
      <c r="C321" s="31"/>
      <c r="D321" s="31"/>
      <c r="F321" s="40"/>
    </row>
    <row r="322" spans="1:6" ht="13" x14ac:dyDescent="0.15">
      <c r="A322" s="7"/>
      <c r="B322" s="31"/>
      <c r="C322" s="31"/>
      <c r="D322" s="31"/>
      <c r="F322" s="40"/>
    </row>
    <row r="323" spans="1:6" ht="13" x14ac:dyDescent="0.15">
      <c r="A323" s="7"/>
      <c r="B323" s="31"/>
      <c r="C323" s="31"/>
      <c r="D323" s="31"/>
      <c r="F323" s="40"/>
    </row>
    <row r="324" spans="1:6" ht="13" x14ac:dyDescent="0.15">
      <c r="A324" s="7"/>
      <c r="B324" s="31"/>
      <c r="C324" s="31"/>
      <c r="D324" s="31"/>
      <c r="F324" s="40"/>
    </row>
    <row r="325" spans="1:6" ht="13" x14ac:dyDescent="0.15">
      <c r="A325" s="7"/>
      <c r="B325" s="31"/>
      <c r="C325" s="31"/>
      <c r="D325" s="31"/>
      <c r="F325" s="40"/>
    </row>
    <row r="326" spans="1:6" ht="13" x14ac:dyDescent="0.15">
      <c r="A326" s="7"/>
      <c r="B326" s="31"/>
      <c r="C326" s="31"/>
      <c r="D326" s="31"/>
      <c r="F326" s="40"/>
    </row>
    <row r="327" spans="1:6" ht="13" x14ac:dyDescent="0.15">
      <c r="A327" s="7"/>
      <c r="B327" s="31"/>
      <c r="C327" s="31"/>
      <c r="D327" s="31"/>
      <c r="F327" s="40"/>
    </row>
    <row r="328" spans="1:6" ht="13" x14ac:dyDescent="0.15">
      <c r="A328" s="7"/>
      <c r="B328" s="31"/>
      <c r="C328" s="31"/>
      <c r="D328" s="31"/>
      <c r="F328" s="40"/>
    </row>
    <row r="329" spans="1:6" ht="13" x14ac:dyDescent="0.15">
      <c r="A329" s="7"/>
      <c r="B329" s="31"/>
      <c r="C329" s="31"/>
      <c r="D329" s="31"/>
      <c r="F329" s="40"/>
    </row>
    <row r="330" spans="1:6" ht="13" x14ac:dyDescent="0.15">
      <c r="A330" s="7"/>
      <c r="B330" s="31"/>
      <c r="C330" s="31"/>
      <c r="D330" s="31"/>
      <c r="F330" s="40"/>
    </row>
    <row r="331" spans="1:6" ht="13" x14ac:dyDescent="0.15">
      <c r="A331" s="7"/>
      <c r="B331" s="31"/>
      <c r="C331" s="31"/>
      <c r="D331" s="31"/>
      <c r="F331" s="40"/>
    </row>
    <row r="332" spans="1:6" ht="13" x14ac:dyDescent="0.15">
      <c r="A332" s="7"/>
      <c r="B332" s="31"/>
      <c r="C332" s="31"/>
      <c r="D332" s="31"/>
      <c r="F332" s="40"/>
    </row>
    <row r="333" spans="1:6" ht="13" x14ac:dyDescent="0.15">
      <c r="A333" s="7"/>
      <c r="B333" s="31"/>
      <c r="C333" s="31"/>
      <c r="D333" s="31"/>
      <c r="F333" s="40"/>
    </row>
    <row r="334" spans="1:6" ht="13" x14ac:dyDescent="0.15">
      <c r="A334" s="7"/>
      <c r="B334" s="31"/>
      <c r="C334" s="31"/>
      <c r="D334" s="31"/>
      <c r="F334" s="40"/>
    </row>
    <row r="335" spans="1:6" ht="13" x14ac:dyDescent="0.15">
      <c r="A335" s="7"/>
      <c r="B335" s="31"/>
      <c r="C335" s="31"/>
      <c r="D335" s="31"/>
      <c r="F335" s="40"/>
    </row>
    <row r="336" spans="1:6" ht="13" x14ac:dyDescent="0.15">
      <c r="A336" s="7"/>
      <c r="B336" s="31"/>
      <c r="C336" s="31"/>
      <c r="D336" s="31"/>
      <c r="F336" s="40"/>
    </row>
    <row r="337" spans="1:6" ht="13" x14ac:dyDescent="0.15">
      <c r="A337" s="7"/>
      <c r="B337" s="31"/>
      <c r="C337" s="31"/>
      <c r="D337" s="31"/>
      <c r="F337" s="40"/>
    </row>
    <row r="338" spans="1:6" ht="13" x14ac:dyDescent="0.15">
      <c r="A338" s="7"/>
      <c r="B338" s="31"/>
      <c r="C338" s="31"/>
      <c r="D338" s="31"/>
      <c r="F338" s="40"/>
    </row>
    <row r="339" spans="1:6" ht="13" x14ac:dyDescent="0.15">
      <c r="A339" s="7"/>
      <c r="B339" s="31"/>
      <c r="C339" s="31"/>
      <c r="D339" s="31"/>
      <c r="F339" s="40"/>
    </row>
    <row r="340" spans="1:6" ht="13" x14ac:dyDescent="0.15">
      <c r="A340" s="7"/>
      <c r="B340" s="31"/>
      <c r="C340" s="31"/>
      <c r="D340" s="31"/>
      <c r="F340" s="40"/>
    </row>
    <row r="341" spans="1:6" ht="13" x14ac:dyDescent="0.15">
      <c r="A341" s="7"/>
      <c r="B341" s="31"/>
      <c r="C341" s="31"/>
      <c r="D341" s="31"/>
      <c r="F341" s="40"/>
    </row>
    <row r="342" spans="1:6" ht="13" x14ac:dyDescent="0.15">
      <c r="A342" s="7"/>
      <c r="B342" s="31"/>
      <c r="C342" s="31"/>
      <c r="D342" s="31"/>
      <c r="F342" s="40"/>
    </row>
    <row r="343" spans="1:6" ht="13" x14ac:dyDescent="0.15">
      <c r="A343" s="7"/>
      <c r="B343" s="31"/>
      <c r="C343" s="31"/>
      <c r="D343" s="31"/>
      <c r="F343" s="40"/>
    </row>
    <row r="344" spans="1:6" ht="13" x14ac:dyDescent="0.15">
      <c r="A344" s="7"/>
      <c r="B344" s="31"/>
      <c r="C344" s="31"/>
      <c r="D344" s="31"/>
      <c r="F344" s="40"/>
    </row>
    <row r="345" spans="1:6" ht="13" x14ac:dyDescent="0.15">
      <c r="A345" s="7"/>
      <c r="B345" s="31"/>
      <c r="C345" s="31"/>
      <c r="D345" s="31"/>
      <c r="F345" s="40"/>
    </row>
    <row r="346" spans="1:6" ht="13" x14ac:dyDescent="0.15">
      <c r="A346" s="7"/>
      <c r="B346" s="31"/>
      <c r="C346" s="31"/>
      <c r="D346" s="31"/>
      <c r="F346" s="40"/>
    </row>
    <row r="347" spans="1:6" ht="13" x14ac:dyDescent="0.15">
      <c r="A347" s="7"/>
      <c r="B347" s="31"/>
      <c r="C347" s="31"/>
      <c r="D347" s="31"/>
      <c r="F347" s="40"/>
    </row>
    <row r="348" spans="1:6" ht="13" x14ac:dyDescent="0.15">
      <c r="A348" s="7"/>
      <c r="B348" s="31"/>
      <c r="C348" s="31"/>
      <c r="D348" s="31"/>
      <c r="F348" s="40"/>
    </row>
    <row r="349" spans="1:6" ht="13" x14ac:dyDescent="0.15">
      <c r="A349" s="7"/>
      <c r="B349" s="31"/>
      <c r="C349" s="31"/>
      <c r="D349" s="31"/>
      <c r="F349" s="40"/>
    </row>
    <row r="350" spans="1:6" ht="13" x14ac:dyDescent="0.15">
      <c r="A350" s="7"/>
      <c r="B350" s="31"/>
      <c r="C350" s="31"/>
      <c r="D350" s="31"/>
      <c r="F350" s="40"/>
    </row>
    <row r="351" spans="1:6" ht="13" x14ac:dyDescent="0.15">
      <c r="A351" s="7"/>
      <c r="B351" s="31"/>
      <c r="C351" s="31"/>
      <c r="D351" s="31"/>
      <c r="F351" s="40"/>
    </row>
    <row r="352" spans="1:6" ht="13" x14ac:dyDescent="0.15">
      <c r="A352" s="7"/>
      <c r="B352" s="31"/>
      <c r="C352" s="31"/>
      <c r="D352" s="31"/>
      <c r="F352" s="40"/>
    </row>
    <row r="353" spans="1:6" ht="13" x14ac:dyDescent="0.15">
      <c r="A353" s="7"/>
      <c r="B353" s="31"/>
      <c r="C353" s="31"/>
      <c r="D353" s="31"/>
      <c r="F353" s="40"/>
    </row>
    <row r="354" spans="1:6" ht="13" x14ac:dyDescent="0.15">
      <c r="A354" s="7"/>
      <c r="B354" s="31"/>
      <c r="C354" s="31"/>
      <c r="D354" s="31"/>
      <c r="F354" s="40"/>
    </row>
    <row r="355" spans="1:6" ht="13" x14ac:dyDescent="0.15">
      <c r="A355" s="7"/>
      <c r="B355" s="31"/>
      <c r="C355" s="31"/>
      <c r="D355" s="31"/>
      <c r="F355" s="40"/>
    </row>
    <row r="356" spans="1:6" ht="13" x14ac:dyDescent="0.15">
      <c r="A356" s="7"/>
      <c r="B356" s="31"/>
      <c r="C356" s="31"/>
      <c r="D356" s="31"/>
      <c r="F356" s="40"/>
    </row>
    <row r="357" spans="1:6" ht="13" x14ac:dyDescent="0.15">
      <c r="A357" s="7"/>
      <c r="B357" s="31"/>
      <c r="C357" s="31"/>
      <c r="D357" s="31"/>
      <c r="F357" s="40"/>
    </row>
    <row r="358" spans="1:6" ht="13" x14ac:dyDescent="0.15">
      <c r="A358" s="7"/>
      <c r="B358" s="31"/>
      <c r="C358" s="31"/>
      <c r="D358" s="31"/>
      <c r="F358" s="40"/>
    </row>
    <row r="359" spans="1:6" ht="13" x14ac:dyDescent="0.15">
      <c r="A359" s="7"/>
      <c r="B359" s="31"/>
      <c r="C359" s="31"/>
      <c r="D359" s="31"/>
      <c r="F359" s="40"/>
    </row>
    <row r="360" spans="1:6" ht="13" x14ac:dyDescent="0.15">
      <c r="A360" s="7"/>
      <c r="B360" s="31"/>
      <c r="C360" s="31"/>
      <c r="D360" s="31"/>
      <c r="F360" s="40"/>
    </row>
    <row r="361" spans="1:6" ht="13" x14ac:dyDescent="0.15">
      <c r="A361" s="7"/>
      <c r="B361" s="31"/>
      <c r="C361" s="31"/>
      <c r="D361" s="31"/>
      <c r="F361" s="40"/>
    </row>
    <row r="362" spans="1:6" ht="13" x14ac:dyDescent="0.15">
      <c r="A362" s="7"/>
      <c r="B362" s="31"/>
      <c r="C362" s="31"/>
      <c r="D362" s="31"/>
      <c r="F362" s="40"/>
    </row>
    <row r="363" spans="1:6" ht="13" x14ac:dyDescent="0.15">
      <c r="A363" s="7"/>
      <c r="B363" s="31"/>
      <c r="C363" s="31"/>
      <c r="D363" s="31"/>
      <c r="F363" s="40"/>
    </row>
    <row r="364" spans="1:6" ht="13" x14ac:dyDescent="0.15">
      <c r="A364" s="7"/>
      <c r="B364" s="31"/>
      <c r="C364" s="31"/>
      <c r="D364" s="31"/>
      <c r="F364" s="40"/>
    </row>
    <row r="365" spans="1:6" ht="13" x14ac:dyDescent="0.15">
      <c r="A365" s="7"/>
      <c r="B365" s="31"/>
      <c r="C365" s="31"/>
      <c r="D365" s="31"/>
      <c r="F365" s="40"/>
    </row>
    <row r="366" spans="1:6" ht="13" x14ac:dyDescent="0.15">
      <c r="A366" s="7"/>
      <c r="B366" s="31"/>
      <c r="C366" s="31"/>
      <c r="D366" s="31"/>
      <c r="F366" s="40"/>
    </row>
    <row r="367" spans="1:6" ht="13" x14ac:dyDescent="0.15">
      <c r="A367" s="7"/>
      <c r="B367" s="31"/>
      <c r="C367" s="31"/>
      <c r="D367" s="31"/>
      <c r="F367" s="40"/>
    </row>
    <row r="368" spans="1:6" ht="13" x14ac:dyDescent="0.15">
      <c r="A368" s="7"/>
      <c r="B368" s="31"/>
      <c r="C368" s="31"/>
      <c r="D368" s="31"/>
      <c r="F368" s="40"/>
    </row>
    <row r="369" spans="1:6" ht="13" x14ac:dyDescent="0.15">
      <c r="A369" s="7"/>
      <c r="B369" s="31"/>
      <c r="C369" s="31"/>
      <c r="D369" s="31"/>
      <c r="F369" s="40"/>
    </row>
    <row r="370" spans="1:6" ht="13" x14ac:dyDescent="0.15">
      <c r="A370" s="7"/>
      <c r="B370" s="31"/>
      <c r="C370" s="31"/>
      <c r="D370" s="31"/>
      <c r="F370" s="40"/>
    </row>
    <row r="371" spans="1:6" ht="13" x14ac:dyDescent="0.15">
      <c r="A371" s="7"/>
      <c r="B371" s="31"/>
      <c r="C371" s="31"/>
      <c r="D371" s="31"/>
      <c r="F371" s="40"/>
    </row>
    <row r="372" spans="1:6" ht="13" x14ac:dyDescent="0.15">
      <c r="A372" s="7"/>
      <c r="B372" s="31"/>
      <c r="C372" s="31"/>
      <c r="D372" s="31"/>
      <c r="F372" s="40"/>
    </row>
    <row r="373" spans="1:6" ht="13" x14ac:dyDescent="0.15">
      <c r="A373" s="7"/>
      <c r="B373" s="31"/>
      <c r="C373" s="31"/>
      <c r="D373" s="31"/>
      <c r="F373" s="40"/>
    </row>
    <row r="374" spans="1:6" ht="13" x14ac:dyDescent="0.15">
      <c r="A374" s="7"/>
      <c r="B374" s="31"/>
      <c r="C374" s="31"/>
      <c r="D374" s="31"/>
      <c r="F374" s="40"/>
    </row>
    <row r="375" spans="1:6" ht="13" x14ac:dyDescent="0.15">
      <c r="A375" s="7"/>
      <c r="B375" s="31"/>
      <c r="C375" s="31"/>
      <c r="D375" s="31"/>
      <c r="F375" s="40"/>
    </row>
    <row r="376" spans="1:6" ht="13" x14ac:dyDescent="0.15">
      <c r="A376" s="7"/>
      <c r="B376" s="31"/>
      <c r="C376" s="31"/>
      <c r="D376" s="31"/>
      <c r="F376" s="40"/>
    </row>
    <row r="377" spans="1:6" ht="13" x14ac:dyDescent="0.15">
      <c r="A377" s="7"/>
      <c r="B377" s="31"/>
      <c r="C377" s="31"/>
      <c r="D377" s="31"/>
      <c r="F377" s="40"/>
    </row>
    <row r="378" spans="1:6" ht="13" x14ac:dyDescent="0.15">
      <c r="A378" s="7"/>
      <c r="B378" s="31"/>
      <c r="C378" s="31"/>
      <c r="D378" s="31"/>
      <c r="F378" s="40"/>
    </row>
    <row r="379" spans="1:6" ht="13" x14ac:dyDescent="0.15">
      <c r="A379" s="7"/>
      <c r="B379" s="31"/>
      <c r="C379" s="31"/>
      <c r="D379" s="31"/>
      <c r="F379" s="40"/>
    </row>
    <row r="380" spans="1:6" ht="13" x14ac:dyDescent="0.15">
      <c r="A380" s="7"/>
      <c r="B380" s="31"/>
      <c r="C380" s="31"/>
      <c r="D380" s="31"/>
      <c r="F380" s="40"/>
    </row>
    <row r="381" spans="1:6" ht="13" x14ac:dyDescent="0.15">
      <c r="A381" s="7"/>
      <c r="B381" s="31"/>
      <c r="C381" s="31"/>
      <c r="D381" s="31"/>
      <c r="F381" s="40"/>
    </row>
    <row r="382" spans="1:6" ht="13" x14ac:dyDescent="0.15">
      <c r="A382" s="7"/>
      <c r="B382" s="31"/>
      <c r="C382" s="31"/>
      <c r="D382" s="31"/>
      <c r="F382" s="40"/>
    </row>
    <row r="383" spans="1:6" ht="13" x14ac:dyDescent="0.15">
      <c r="A383" s="7"/>
      <c r="B383" s="31"/>
      <c r="C383" s="31"/>
      <c r="D383" s="31"/>
      <c r="F383" s="40"/>
    </row>
    <row r="384" spans="1:6" ht="13" x14ac:dyDescent="0.15">
      <c r="A384" s="7"/>
      <c r="B384" s="31"/>
      <c r="C384" s="31"/>
      <c r="D384" s="31"/>
      <c r="F384" s="40"/>
    </row>
    <row r="385" spans="1:6" ht="13" x14ac:dyDescent="0.15">
      <c r="A385" s="7"/>
      <c r="B385" s="31"/>
      <c r="C385" s="31"/>
      <c r="D385" s="31"/>
      <c r="F385" s="40"/>
    </row>
    <row r="386" spans="1:6" ht="13" x14ac:dyDescent="0.15">
      <c r="A386" s="7"/>
      <c r="B386" s="31"/>
      <c r="C386" s="31"/>
      <c r="D386" s="31"/>
      <c r="F386" s="40"/>
    </row>
    <row r="387" spans="1:6" ht="13" x14ac:dyDescent="0.15">
      <c r="A387" s="7"/>
      <c r="B387" s="31"/>
      <c r="C387" s="31"/>
      <c r="D387" s="31"/>
      <c r="F387" s="40"/>
    </row>
    <row r="388" spans="1:6" ht="13" x14ac:dyDescent="0.15">
      <c r="A388" s="7"/>
      <c r="B388" s="31"/>
      <c r="C388" s="31"/>
      <c r="D388" s="31"/>
      <c r="F388" s="40"/>
    </row>
    <row r="389" spans="1:6" ht="13" x14ac:dyDescent="0.15">
      <c r="A389" s="7"/>
      <c r="B389" s="31"/>
      <c r="C389" s="31"/>
      <c r="D389" s="31"/>
      <c r="F389" s="40"/>
    </row>
    <row r="390" spans="1:6" ht="13" x14ac:dyDescent="0.15">
      <c r="A390" s="7"/>
      <c r="B390" s="31"/>
      <c r="C390" s="31"/>
      <c r="D390" s="31"/>
      <c r="F390" s="40"/>
    </row>
    <row r="391" spans="1:6" ht="13" x14ac:dyDescent="0.15">
      <c r="A391" s="7"/>
      <c r="B391" s="31"/>
      <c r="C391" s="31"/>
      <c r="D391" s="31"/>
      <c r="F391" s="40"/>
    </row>
    <row r="392" spans="1:6" ht="13" x14ac:dyDescent="0.15">
      <c r="A392" s="7"/>
      <c r="B392" s="31"/>
      <c r="C392" s="31"/>
      <c r="D392" s="31"/>
      <c r="F392" s="40"/>
    </row>
    <row r="393" spans="1:6" ht="13" x14ac:dyDescent="0.15">
      <c r="A393" s="7"/>
      <c r="B393" s="31"/>
      <c r="C393" s="31"/>
      <c r="D393" s="31"/>
      <c r="F393" s="40"/>
    </row>
    <row r="394" spans="1:6" ht="13" x14ac:dyDescent="0.15">
      <c r="A394" s="7"/>
      <c r="B394" s="31"/>
      <c r="C394" s="31"/>
      <c r="D394" s="31"/>
      <c r="F394" s="40"/>
    </row>
    <row r="395" spans="1:6" ht="13" x14ac:dyDescent="0.15">
      <c r="A395" s="7"/>
      <c r="B395" s="31"/>
      <c r="C395" s="31"/>
      <c r="D395" s="31"/>
      <c r="F395" s="40"/>
    </row>
    <row r="396" spans="1:6" ht="13" x14ac:dyDescent="0.15">
      <c r="A396" s="7"/>
      <c r="B396" s="31"/>
      <c r="C396" s="31"/>
      <c r="D396" s="31"/>
      <c r="F396" s="40"/>
    </row>
    <row r="397" spans="1:6" ht="13" x14ac:dyDescent="0.15">
      <c r="A397" s="7"/>
      <c r="B397" s="31"/>
      <c r="C397" s="31"/>
      <c r="D397" s="31"/>
      <c r="F397" s="40"/>
    </row>
    <row r="398" spans="1:6" ht="13" x14ac:dyDescent="0.15">
      <c r="A398" s="7"/>
      <c r="B398" s="31"/>
      <c r="C398" s="31"/>
      <c r="D398" s="31"/>
      <c r="F398" s="40"/>
    </row>
    <row r="399" spans="1:6" ht="13" x14ac:dyDescent="0.15">
      <c r="A399" s="7"/>
      <c r="B399" s="31"/>
      <c r="C399" s="31"/>
      <c r="D399" s="31"/>
      <c r="F399" s="40"/>
    </row>
    <row r="400" spans="1:6" ht="13" x14ac:dyDescent="0.15">
      <c r="A400" s="7"/>
      <c r="B400" s="31"/>
      <c r="C400" s="31"/>
      <c r="D400" s="31"/>
      <c r="F400" s="40"/>
    </row>
    <row r="401" spans="1:6" ht="13" x14ac:dyDescent="0.15">
      <c r="A401" s="7"/>
      <c r="B401" s="31"/>
      <c r="C401" s="31"/>
      <c r="D401" s="31"/>
      <c r="F401" s="40"/>
    </row>
    <row r="402" spans="1:6" ht="13" x14ac:dyDescent="0.15">
      <c r="A402" s="7"/>
      <c r="B402" s="31"/>
      <c r="C402" s="31"/>
      <c r="D402" s="31"/>
      <c r="F402" s="40"/>
    </row>
    <row r="403" spans="1:6" ht="13" x14ac:dyDescent="0.15">
      <c r="A403" s="7"/>
      <c r="B403" s="31"/>
      <c r="C403" s="31"/>
      <c r="D403" s="31"/>
      <c r="F403" s="40"/>
    </row>
    <row r="404" spans="1:6" ht="13" x14ac:dyDescent="0.15">
      <c r="A404" s="7"/>
      <c r="B404" s="31"/>
      <c r="C404" s="31"/>
      <c r="D404" s="31"/>
      <c r="F404" s="40"/>
    </row>
    <row r="405" spans="1:6" ht="13" x14ac:dyDescent="0.15">
      <c r="A405" s="7"/>
      <c r="B405" s="31"/>
      <c r="C405" s="31"/>
      <c r="D405" s="31"/>
      <c r="F405" s="40"/>
    </row>
    <row r="406" spans="1:6" ht="13" x14ac:dyDescent="0.15">
      <c r="A406" s="7"/>
      <c r="B406" s="31"/>
      <c r="C406" s="31"/>
      <c r="D406" s="31"/>
      <c r="F406" s="40"/>
    </row>
    <row r="407" spans="1:6" ht="13" x14ac:dyDescent="0.15">
      <c r="A407" s="7"/>
      <c r="B407" s="31"/>
      <c r="C407" s="31"/>
      <c r="D407" s="31"/>
      <c r="F407" s="40"/>
    </row>
    <row r="408" spans="1:6" ht="13" x14ac:dyDescent="0.15">
      <c r="A408" s="7"/>
      <c r="B408" s="31"/>
      <c r="C408" s="31"/>
      <c r="D408" s="31"/>
      <c r="F408" s="40"/>
    </row>
    <row r="409" spans="1:6" ht="13" x14ac:dyDescent="0.15">
      <c r="A409" s="7"/>
      <c r="B409" s="31"/>
      <c r="C409" s="31"/>
      <c r="D409" s="31"/>
      <c r="F409" s="40"/>
    </row>
    <row r="410" spans="1:6" ht="13" x14ac:dyDescent="0.15">
      <c r="A410" s="7"/>
      <c r="B410" s="31"/>
      <c r="C410" s="31"/>
      <c r="D410" s="31"/>
      <c r="F410" s="40"/>
    </row>
    <row r="411" spans="1:6" ht="13" x14ac:dyDescent="0.15">
      <c r="A411" s="7"/>
      <c r="B411" s="31"/>
      <c r="C411" s="31"/>
      <c r="D411" s="31"/>
      <c r="F411" s="40"/>
    </row>
    <row r="412" spans="1:6" ht="13" x14ac:dyDescent="0.15">
      <c r="A412" s="7"/>
      <c r="B412" s="31"/>
      <c r="C412" s="31"/>
      <c r="D412" s="31"/>
      <c r="F412" s="40"/>
    </row>
    <row r="413" spans="1:6" ht="13" x14ac:dyDescent="0.15">
      <c r="A413" s="7"/>
      <c r="B413" s="31"/>
      <c r="C413" s="31"/>
      <c r="D413" s="31"/>
      <c r="F413" s="40"/>
    </row>
    <row r="414" spans="1:6" ht="13" x14ac:dyDescent="0.15">
      <c r="A414" s="7"/>
      <c r="B414" s="31"/>
      <c r="C414" s="31"/>
      <c r="D414" s="31"/>
      <c r="F414" s="40"/>
    </row>
    <row r="415" spans="1:6" ht="13" x14ac:dyDescent="0.15">
      <c r="A415" s="7"/>
      <c r="B415" s="31"/>
      <c r="C415" s="31"/>
      <c r="D415" s="31"/>
      <c r="F415" s="40"/>
    </row>
    <row r="416" spans="1:6" ht="13" x14ac:dyDescent="0.15">
      <c r="A416" s="7"/>
      <c r="B416" s="31"/>
      <c r="C416" s="31"/>
      <c r="D416" s="31"/>
      <c r="F416" s="40"/>
    </row>
    <row r="417" spans="1:6" ht="13" x14ac:dyDescent="0.15">
      <c r="A417" s="7"/>
      <c r="B417" s="31"/>
      <c r="C417" s="31"/>
      <c r="D417" s="31"/>
      <c r="F417" s="40"/>
    </row>
    <row r="418" spans="1:6" ht="13" x14ac:dyDescent="0.15">
      <c r="A418" s="7"/>
      <c r="B418" s="31"/>
      <c r="C418" s="31"/>
      <c r="D418" s="31"/>
      <c r="F418" s="40"/>
    </row>
    <row r="419" spans="1:6" ht="13" x14ac:dyDescent="0.15">
      <c r="A419" s="7"/>
      <c r="B419" s="31"/>
      <c r="C419" s="31"/>
      <c r="D419" s="31"/>
      <c r="F419" s="40"/>
    </row>
    <row r="420" spans="1:6" ht="13" x14ac:dyDescent="0.15">
      <c r="A420" s="7"/>
      <c r="B420" s="31"/>
      <c r="C420" s="31"/>
      <c r="D420" s="31"/>
      <c r="F420" s="40"/>
    </row>
    <row r="421" spans="1:6" ht="13" x14ac:dyDescent="0.15">
      <c r="A421" s="7"/>
      <c r="B421" s="31"/>
      <c r="C421" s="31"/>
      <c r="D421" s="31"/>
      <c r="F421" s="40"/>
    </row>
    <row r="422" spans="1:6" ht="13" x14ac:dyDescent="0.15">
      <c r="A422" s="7"/>
      <c r="B422" s="31"/>
      <c r="C422" s="31"/>
      <c r="D422" s="31"/>
      <c r="F422" s="40"/>
    </row>
    <row r="423" spans="1:6" ht="13" x14ac:dyDescent="0.15">
      <c r="A423" s="7"/>
      <c r="B423" s="31"/>
      <c r="C423" s="31"/>
      <c r="D423" s="31"/>
      <c r="F423" s="40"/>
    </row>
    <row r="424" spans="1:6" ht="13" x14ac:dyDescent="0.15">
      <c r="A424" s="7"/>
      <c r="B424" s="31"/>
      <c r="C424" s="31"/>
      <c r="D424" s="31"/>
      <c r="F424" s="40"/>
    </row>
    <row r="425" spans="1:6" ht="13" x14ac:dyDescent="0.15">
      <c r="A425" s="7"/>
      <c r="B425" s="31"/>
      <c r="C425" s="31"/>
      <c r="D425" s="31"/>
      <c r="F425" s="40"/>
    </row>
    <row r="426" spans="1:6" ht="13" x14ac:dyDescent="0.15">
      <c r="A426" s="7"/>
      <c r="B426" s="31"/>
      <c r="C426" s="31"/>
      <c r="D426" s="31"/>
      <c r="F426" s="40"/>
    </row>
    <row r="427" spans="1:6" ht="13" x14ac:dyDescent="0.15">
      <c r="A427" s="7"/>
      <c r="B427" s="31"/>
      <c r="C427" s="31"/>
      <c r="D427" s="31"/>
      <c r="F427" s="40"/>
    </row>
    <row r="428" spans="1:6" ht="13" x14ac:dyDescent="0.15">
      <c r="A428" s="7"/>
      <c r="B428" s="31"/>
      <c r="C428" s="31"/>
      <c r="D428" s="31"/>
      <c r="F428" s="40"/>
    </row>
    <row r="429" spans="1:6" ht="13" x14ac:dyDescent="0.15">
      <c r="A429" s="7"/>
      <c r="B429" s="31"/>
      <c r="C429" s="31"/>
      <c r="D429" s="31"/>
      <c r="F429" s="40"/>
    </row>
    <row r="430" spans="1:6" ht="13" x14ac:dyDescent="0.15">
      <c r="A430" s="7"/>
      <c r="B430" s="31"/>
      <c r="C430" s="31"/>
      <c r="D430" s="31"/>
      <c r="F430" s="40"/>
    </row>
    <row r="431" spans="1:6" ht="13" x14ac:dyDescent="0.15">
      <c r="A431" s="7"/>
      <c r="B431" s="31"/>
      <c r="C431" s="31"/>
      <c r="D431" s="31"/>
      <c r="F431" s="40"/>
    </row>
    <row r="432" spans="1:6" ht="13" x14ac:dyDescent="0.15">
      <c r="A432" s="7"/>
      <c r="B432" s="31"/>
      <c r="C432" s="31"/>
      <c r="D432" s="31"/>
      <c r="F432" s="40"/>
    </row>
    <row r="433" spans="1:6" ht="13" x14ac:dyDescent="0.15">
      <c r="A433" s="7"/>
      <c r="B433" s="31"/>
      <c r="C433" s="31"/>
      <c r="D433" s="31"/>
      <c r="F433" s="40"/>
    </row>
    <row r="434" spans="1:6" ht="13" x14ac:dyDescent="0.15">
      <c r="A434" s="7"/>
      <c r="B434" s="31"/>
      <c r="C434" s="31"/>
      <c r="D434" s="31"/>
      <c r="F434" s="40"/>
    </row>
    <row r="435" spans="1:6" ht="13" x14ac:dyDescent="0.15">
      <c r="A435" s="7"/>
      <c r="B435" s="31"/>
      <c r="C435" s="31"/>
      <c r="D435" s="31"/>
      <c r="F435" s="40"/>
    </row>
    <row r="436" spans="1:6" ht="13" x14ac:dyDescent="0.15">
      <c r="A436" s="7"/>
      <c r="B436" s="31"/>
      <c r="C436" s="31"/>
      <c r="D436" s="31"/>
      <c r="F436" s="40"/>
    </row>
    <row r="437" spans="1:6" ht="13" x14ac:dyDescent="0.15">
      <c r="A437" s="7"/>
      <c r="B437" s="31"/>
      <c r="C437" s="31"/>
      <c r="D437" s="31"/>
      <c r="F437" s="40"/>
    </row>
    <row r="438" spans="1:6" ht="13" x14ac:dyDescent="0.15">
      <c r="A438" s="7"/>
      <c r="B438" s="31"/>
      <c r="C438" s="31"/>
      <c r="D438" s="31"/>
      <c r="F438" s="40"/>
    </row>
    <row r="439" spans="1:6" ht="13" x14ac:dyDescent="0.15">
      <c r="A439" s="7"/>
      <c r="B439" s="31"/>
      <c r="C439" s="31"/>
      <c r="D439" s="31"/>
      <c r="F439" s="40"/>
    </row>
    <row r="440" spans="1:6" ht="13" x14ac:dyDescent="0.15">
      <c r="A440" s="7"/>
      <c r="B440" s="31"/>
      <c r="C440" s="31"/>
      <c r="D440" s="31"/>
      <c r="F440" s="40"/>
    </row>
    <row r="441" spans="1:6" ht="13" x14ac:dyDescent="0.15">
      <c r="A441" s="7"/>
      <c r="B441" s="31"/>
      <c r="C441" s="31"/>
      <c r="D441" s="31"/>
      <c r="F441" s="40"/>
    </row>
    <row r="442" spans="1:6" ht="13" x14ac:dyDescent="0.15">
      <c r="A442" s="7"/>
      <c r="B442" s="31"/>
      <c r="C442" s="31"/>
      <c r="D442" s="31"/>
      <c r="F442" s="40"/>
    </row>
    <row r="443" spans="1:6" ht="13" x14ac:dyDescent="0.15">
      <c r="A443" s="7"/>
      <c r="B443" s="31"/>
      <c r="C443" s="31"/>
      <c r="D443" s="31"/>
      <c r="F443" s="40"/>
    </row>
    <row r="444" spans="1:6" ht="13" x14ac:dyDescent="0.15">
      <c r="A444" s="7"/>
      <c r="B444" s="31"/>
      <c r="C444" s="31"/>
      <c r="D444" s="31"/>
      <c r="F444" s="40"/>
    </row>
    <row r="445" spans="1:6" ht="13" x14ac:dyDescent="0.15">
      <c r="A445" s="7"/>
      <c r="B445" s="31"/>
      <c r="C445" s="31"/>
      <c r="D445" s="31"/>
      <c r="F445" s="40"/>
    </row>
    <row r="446" spans="1:6" ht="13" x14ac:dyDescent="0.15">
      <c r="A446" s="7"/>
      <c r="B446" s="31"/>
      <c r="C446" s="31"/>
      <c r="D446" s="31"/>
      <c r="F446" s="40"/>
    </row>
    <row r="447" spans="1:6" ht="13" x14ac:dyDescent="0.15">
      <c r="A447" s="7"/>
      <c r="B447" s="31"/>
      <c r="C447" s="31"/>
      <c r="D447" s="31"/>
      <c r="F447" s="40"/>
    </row>
    <row r="448" spans="1:6" ht="13" x14ac:dyDescent="0.15">
      <c r="A448" s="7"/>
      <c r="B448" s="31"/>
      <c r="C448" s="31"/>
      <c r="D448" s="31"/>
      <c r="F448" s="40"/>
    </row>
    <row r="449" spans="1:6" ht="13" x14ac:dyDescent="0.15">
      <c r="A449" s="7"/>
      <c r="B449" s="31"/>
      <c r="C449" s="31"/>
      <c r="D449" s="31"/>
      <c r="F449" s="40"/>
    </row>
    <row r="450" spans="1:6" ht="13" x14ac:dyDescent="0.15">
      <c r="A450" s="7"/>
      <c r="B450" s="31"/>
      <c r="C450" s="31"/>
      <c r="D450" s="31"/>
      <c r="F450" s="40"/>
    </row>
    <row r="451" spans="1:6" ht="13" x14ac:dyDescent="0.15">
      <c r="A451" s="7"/>
      <c r="B451" s="31"/>
      <c r="C451" s="31"/>
      <c r="D451" s="31"/>
      <c r="F451" s="40"/>
    </row>
    <row r="452" spans="1:6" ht="13" x14ac:dyDescent="0.15">
      <c r="A452" s="7"/>
      <c r="B452" s="31"/>
      <c r="C452" s="31"/>
      <c r="D452" s="31"/>
      <c r="F452" s="40"/>
    </row>
    <row r="453" spans="1:6" ht="13" x14ac:dyDescent="0.15">
      <c r="A453" s="7"/>
      <c r="B453" s="31"/>
      <c r="C453" s="31"/>
      <c r="D453" s="31"/>
      <c r="F453" s="40"/>
    </row>
    <row r="454" spans="1:6" ht="13" x14ac:dyDescent="0.15">
      <c r="A454" s="7"/>
      <c r="B454" s="31"/>
      <c r="C454" s="31"/>
      <c r="D454" s="31"/>
      <c r="F454" s="40"/>
    </row>
    <row r="455" spans="1:6" ht="13" x14ac:dyDescent="0.15">
      <c r="A455" s="7"/>
      <c r="B455" s="31"/>
      <c r="C455" s="31"/>
      <c r="D455" s="31"/>
      <c r="F455" s="40"/>
    </row>
    <row r="456" spans="1:6" ht="13" x14ac:dyDescent="0.15">
      <c r="A456" s="7"/>
      <c r="B456" s="31"/>
      <c r="C456" s="31"/>
      <c r="D456" s="31"/>
      <c r="F456" s="40"/>
    </row>
    <row r="457" spans="1:6" ht="13" x14ac:dyDescent="0.15">
      <c r="A457" s="7"/>
      <c r="B457" s="31"/>
      <c r="C457" s="31"/>
      <c r="D457" s="31"/>
      <c r="F457" s="40"/>
    </row>
    <row r="458" spans="1:6" ht="13" x14ac:dyDescent="0.15">
      <c r="A458" s="7"/>
      <c r="B458" s="31"/>
      <c r="C458" s="31"/>
      <c r="D458" s="31"/>
      <c r="F458" s="40"/>
    </row>
    <row r="459" spans="1:6" ht="13" x14ac:dyDescent="0.15">
      <c r="A459" s="7"/>
      <c r="B459" s="31"/>
      <c r="C459" s="31"/>
      <c r="D459" s="31"/>
      <c r="F459" s="40"/>
    </row>
    <row r="460" spans="1:6" ht="13" x14ac:dyDescent="0.15">
      <c r="A460" s="7"/>
      <c r="B460" s="31"/>
      <c r="C460" s="31"/>
      <c r="D460" s="31"/>
      <c r="F460" s="40"/>
    </row>
    <row r="461" spans="1:6" ht="13" x14ac:dyDescent="0.15">
      <c r="A461" s="7"/>
      <c r="B461" s="31"/>
      <c r="C461" s="31"/>
      <c r="D461" s="31"/>
      <c r="F461" s="40"/>
    </row>
    <row r="462" spans="1:6" ht="13" x14ac:dyDescent="0.15">
      <c r="A462" s="7"/>
      <c r="B462" s="31"/>
      <c r="C462" s="31"/>
      <c r="D462" s="31"/>
      <c r="F462" s="40"/>
    </row>
    <row r="463" spans="1:6" ht="13" x14ac:dyDescent="0.15">
      <c r="A463" s="7"/>
      <c r="B463" s="31"/>
      <c r="C463" s="31"/>
      <c r="D463" s="31"/>
      <c r="F463" s="40"/>
    </row>
    <row r="464" spans="1:6" ht="13" x14ac:dyDescent="0.15">
      <c r="A464" s="7"/>
      <c r="B464" s="31"/>
      <c r="C464" s="31"/>
      <c r="D464" s="31"/>
      <c r="F464" s="40"/>
    </row>
    <row r="465" spans="1:6" ht="13" x14ac:dyDescent="0.15">
      <c r="A465" s="7"/>
      <c r="B465" s="31"/>
      <c r="C465" s="31"/>
      <c r="D465" s="31"/>
      <c r="F465" s="40"/>
    </row>
    <row r="466" spans="1:6" ht="13" x14ac:dyDescent="0.15">
      <c r="A466" s="7"/>
      <c r="B466" s="31"/>
      <c r="C466" s="31"/>
      <c r="D466" s="31"/>
      <c r="F466" s="40"/>
    </row>
    <row r="467" spans="1:6" ht="13" x14ac:dyDescent="0.15">
      <c r="A467" s="7"/>
      <c r="B467" s="31"/>
      <c r="C467" s="31"/>
      <c r="D467" s="31"/>
      <c r="F467" s="40"/>
    </row>
    <row r="468" spans="1:6" ht="13" x14ac:dyDescent="0.15">
      <c r="A468" s="7"/>
      <c r="B468" s="31"/>
      <c r="C468" s="31"/>
      <c r="D468" s="31"/>
      <c r="F468" s="40"/>
    </row>
    <row r="469" spans="1:6" ht="13" x14ac:dyDescent="0.15">
      <c r="A469" s="7"/>
      <c r="B469" s="31"/>
      <c r="C469" s="31"/>
      <c r="D469" s="31"/>
      <c r="F469" s="40"/>
    </row>
    <row r="470" spans="1:6" ht="13" x14ac:dyDescent="0.15">
      <c r="A470" s="7"/>
      <c r="B470" s="31"/>
      <c r="C470" s="31"/>
      <c r="D470" s="31"/>
      <c r="F470" s="40"/>
    </row>
    <row r="471" spans="1:6" ht="13" x14ac:dyDescent="0.15">
      <c r="A471" s="7"/>
      <c r="B471" s="31"/>
      <c r="C471" s="31"/>
      <c r="D471" s="31"/>
      <c r="F471" s="40"/>
    </row>
    <row r="472" spans="1:6" ht="13" x14ac:dyDescent="0.15">
      <c r="A472" s="7"/>
      <c r="B472" s="31"/>
      <c r="C472" s="31"/>
      <c r="D472" s="31"/>
      <c r="F472" s="40"/>
    </row>
    <row r="473" spans="1:6" ht="13" x14ac:dyDescent="0.15">
      <c r="A473" s="7"/>
      <c r="B473" s="31"/>
      <c r="C473" s="31"/>
      <c r="D473" s="31"/>
      <c r="F473" s="40"/>
    </row>
    <row r="474" spans="1:6" ht="13" x14ac:dyDescent="0.15">
      <c r="A474" s="7"/>
      <c r="B474" s="31"/>
      <c r="C474" s="31"/>
      <c r="D474" s="31"/>
      <c r="F474" s="40"/>
    </row>
    <row r="475" spans="1:6" ht="13" x14ac:dyDescent="0.15">
      <c r="A475" s="7"/>
      <c r="B475" s="31"/>
      <c r="C475" s="31"/>
      <c r="D475" s="31"/>
      <c r="F475" s="40"/>
    </row>
    <row r="476" spans="1:6" ht="13" x14ac:dyDescent="0.15">
      <c r="A476" s="7"/>
      <c r="B476" s="31"/>
      <c r="C476" s="31"/>
      <c r="D476" s="31"/>
      <c r="F476" s="40"/>
    </row>
    <row r="477" spans="1:6" ht="13" x14ac:dyDescent="0.15">
      <c r="A477" s="7"/>
      <c r="B477" s="31"/>
      <c r="C477" s="31"/>
      <c r="D477" s="31"/>
      <c r="F477" s="40"/>
    </row>
    <row r="478" spans="1:6" ht="13" x14ac:dyDescent="0.15">
      <c r="A478" s="7"/>
      <c r="B478" s="31"/>
      <c r="C478" s="31"/>
      <c r="D478" s="31"/>
      <c r="F478" s="40"/>
    </row>
    <row r="479" spans="1:6" ht="13" x14ac:dyDescent="0.15">
      <c r="A479" s="7"/>
      <c r="B479" s="31"/>
      <c r="C479" s="31"/>
      <c r="D479" s="31"/>
      <c r="F479" s="40"/>
    </row>
    <row r="480" spans="1:6" ht="13" x14ac:dyDescent="0.15">
      <c r="A480" s="7"/>
      <c r="B480" s="31"/>
      <c r="C480" s="31"/>
      <c r="D480" s="31"/>
      <c r="F480" s="40"/>
    </row>
    <row r="481" spans="1:6" ht="13" x14ac:dyDescent="0.15">
      <c r="A481" s="7"/>
      <c r="B481" s="31"/>
      <c r="C481" s="31"/>
      <c r="D481" s="31"/>
      <c r="F481" s="40"/>
    </row>
    <row r="482" spans="1:6" ht="13" x14ac:dyDescent="0.15">
      <c r="A482" s="7"/>
      <c r="B482" s="31"/>
      <c r="C482" s="31"/>
      <c r="D482" s="31"/>
      <c r="F482" s="40"/>
    </row>
    <row r="483" spans="1:6" ht="13" x14ac:dyDescent="0.15">
      <c r="A483" s="7"/>
      <c r="B483" s="31"/>
      <c r="C483" s="31"/>
      <c r="D483" s="31"/>
      <c r="F483" s="40"/>
    </row>
    <row r="484" spans="1:6" ht="13" x14ac:dyDescent="0.15">
      <c r="A484" s="7"/>
      <c r="B484" s="31"/>
      <c r="C484" s="31"/>
      <c r="D484" s="31"/>
      <c r="F484" s="40"/>
    </row>
    <row r="485" spans="1:6" ht="13" x14ac:dyDescent="0.15">
      <c r="A485" s="7"/>
      <c r="B485" s="31"/>
      <c r="C485" s="31"/>
      <c r="D485" s="31"/>
      <c r="F485" s="40"/>
    </row>
    <row r="486" spans="1:6" ht="13" x14ac:dyDescent="0.15">
      <c r="A486" s="7"/>
      <c r="B486" s="31"/>
      <c r="C486" s="31"/>
      <c r="D486" s="31"/>
      <c r="F486" s="40"/>
    </row>
    <row r="487" spans="1:6" ht="13" x14ac:dyDescent="0.15">
      <c r="A487" s="7"/>
      <c r="B487" s="31"/>
      <c r="C487" s="31"/>
      <c r="D487" s="31"/>
      <c r="F487" s="40"/>
    </row>
    <row r="488" spans="1:6" ht="13" x14ac:dyDescent="0.15">
      <c r="A488" s="7"/>
      <c r="B488" s="31"/>
      <c r="C488" s="31"/>
      <c r="D488" s="31"/>
      <c r="F488" s="40"/>
    </row>
    <row r="489" spans="1:6" ht="13" x14ac:dyDescent="0.15">
      <c r="A489" s="7"/>
      <c r="B489" s="31"/>
      <c r="C489" s="31"/>
      <c r="D489" s="31"/>
      <c r="F489" s="40"/>
    </row>
    <row r="490" spans="1:6" ht="13" x14ac:dyDescent="0.15">
      <c r="A490" s="7"/>
      <c r="B490" s="31"/>
      <c r="C490" s="31"/>
      <c r="D490" s="31"/>
      <c r="F490" s="40"/>
    </row>
    <row r="491" spans="1:6" ht="13" x14ac:dyDescent="0.15">
      <c r="A491" s="7"/>
      <c r="B491" s="31"/>
      <c r="C491" s="31"/>
      <c r="D491" s="31"/>
      <c r="F491" s="40"/>
    </row>
    <row r="492" spans="1:6" ht="13" x14ac:dyDescent="0.15">
      <c r="A492" s="7"/>
      <c r="B492" s="31"/>
      <c r="C492" s="31"/>
      <c r="D492" s="31"/>
      <c r="F492" s="40"/>
    </row>
    <row r="493" spans="1:6" ht="13" x14ac:dyDescent="0.15">
      <c r="A493" s="7"/>
      <c r="B493" s="31"/>
      <c r="C493" s="31"/>
      <c r="D493" s="31"/>
      <c r="F493" s="40"/>
    </row>
    <row r="494" spans="1:6" ht="13" x14ac:dyDescent="0.15">
      <c r="A494" s="7"/>
      <c r="B494" s="31"/>
      <c r="C494" s="31"/>
      <c r="D494" s="31"/>
      <c r="F494" s="40"/>
    </row>
    <row r="495" spans="1:6" ht="13" x14ac:dyDescent="0.15">
      <c r="A495" s="7"/>
      <c r="B495" s="31"/>
      <c r="C495" s="31"/>
      <c r="D495" s="31"/>
      <c r="F495" s="40"/>
    </row>
    <row r="496" spans="1:6" ht="13" x14ac:dyDescent="0.15">
      <c r="A496" s="7"/>
      <c r="B496" s="31"/>
      <c r="C496" s="31"/>
      <c r="D496" s="31"/>
      <c r="F496" s="40"/>
    </row>
    <row r="497" spans="1:6" ht="13" x14ac:dyDescent="0.15">
      <c r="A497" s="7"/>
      <c r="B497" s="31"/>
      <c r="C497" s="31"/>
      <c r="D497" s="31"/>
      <c r="F497" s="40"/>
    </row>
    <row r="498" spans="1:6" ht="13" x14ac:dyDescent="0.15">
      <c r="A498" s="7"/>
      <c r="B498" s="31"/>
      <c r="C498" s="31"/>
      <c r="D498" s="31"/>
      <c r="F498" s="40"/>
    </row>
    <row r="499" spans="1:6" ht="13" x14ac:dyDescent="0.15">
      <c r="A499" s="7"/>
      <c r="B499" s="31"/>
      <c r="C499" s="31"/>
      <c r="D499" s="31"/>
      <c r="F499" s="40"/>
    </row>
    <row r="500" spans="1:6" ht="13" x14ac:dyDescent="0.15">
      <c r="A500" s="7"/>
      <c r="B500" s="31"/>
      <c r="C500" s="31"/>
      <c r="D500" s="31"/>
      <c r="F500" s="40"/>
    </row>
    <row r="501" spans="1:6" ht="13" x14ac:dyDescent="0.15">
      <c r="A501" s="7"/>
      <c r="B501" s="31"/>
      <c r="C501" s="31"/>
      <c r="D501" s="31"/>
      <c r="F501" s="40"/>
    </row>
    <row r="502" spans="1:6" ht="13" x14ac:dyDescent="0.15">
      <c r="A502" s="7"/>
      <c r="B502" s="31"/>
      <c r="C502" s="31"/>
      <c r="D502" s="31"/>
      <c r="F502" s="40"/>
    </row>
    <row r="503" spans="1:6" ht="13" x14ac:dyDescent="0.15">
      <c r="A503" s="7"/>
      <c r="B503" s="31"/>
      <c r="C503" s="31"/>
      <c r="D503" s="31"/>
      <c r="F503" s="40"/>
    </row>
    <row r="504" spans="1:6" ht="13" x14ac:dyDescent="0.15">
      <c r="A504" s="7"/>
      <c r="B504" s="31"/>
      <c r="C504" s="31"/>
      <c r="D504" s="31"/>
      <c r="F504" s="40"/>
    </row>
    <row r="505" spans="1:6" ht="13" x14ac:dyDescent="0.15">
      <c r="A505" s="7"/>
      <c r="B505" s="31"/>
      <c r="C505" s="31"/>
      <c r="D505" s="31"/>
      <c r="F505" s="40"/>
    </row>
    <row r="506" spans="1:6" ht="13" x14ac:dyDescent="0.15">
      <c r="A506" s="7"/>
      <c r="B506" s="31"/>
      <c r="C506" s="31"/>
      <c r="D506" s="31"/>
      <c r="F506" s="40"/>
    </row>
    <row r="507" spans="1:6" ht="13" x14ac:dyDescent="0.15">
      <c r="A507" s="7"/>
      <c r="B507" s="31"/>
      <c r="C507" s="31"/>
      <c r="D507" s="31"/>
      <c r="F507" s="40"/>
    </row>
    <row r="508" spans="1:6" ht="13" x14ac:dyDescent="0.15">
      <c r="A508" s="7"/>
      <c r="B508" s="31"/>
      <c r="C508" s="31"/>
      <c r="D508" s="31"/>
      <c r="F508" s="40"/>
    </row>
    <row r="509" spans="1:6" ht="13" x14ac:dyDescent="0.15">
      <c r="A509" s="7"/>
      <c r="B509" s="31"/>
      <c r="C509" s="31"/>
      <c r="D509" s="31"/>
      <c r="F509" s="40"/>
    </row>
    <row r="510" spans="1:6" ht="13" x14ac:dyDescent="0.15">
      <c r="A510" s="7"/>
      <c r="B510" s="31"/>
      <c r="C510" s="31"/>
      <c r="D510" s="31"/>
      <c r="F510" s="40"/>
    </row>
    <row r="511" spans="1:6" ht="13" x14ac:dyDescent="0.15">
      <c r="A511" s="7"/>
      <c r="B511" s="31"/>
      <c r="C511" s="31"/>
      <c r="D511" s="31"/>
      <c r="F511" s="40"/>
    </row>
    <row r="512" spans="1:6" ht="13" x14ac:dyDescent="0.15">
      <c r="A512" s="7"/>
      <c r="B512" s="31"/>
      <c r="C512" s="31"/>
      <c r="D512" s="31"/>
      <c r="F512" s="40"/>
    </row>
    <row r="513" spans="1:6" ht="13" x14ac:dyDescent="0.15">
      <c r="A513" s="7"/>
      <c r="B513" s="31"/>
      <c r="C513" s="31"/>
      <c r="D513" s="31"/>
      <c r="F513" s="40"/>
    </row>
    <row r="514" spans="1:6" ht="13" x14ac:dyDescent="0.15">
      <c r="A514" s="7"/>
      <c r="B514" s="31"/>
      <c r="C514" s="31"/>
      <c r="D514" s="31"/>
      <c r="F514" s="40"/>
    </row>
    <row r="515" spans="1:6" ht="13" x14ac:dyDescent="0.15">
      <c r="A515" s="7"/>
      <c r="B515" s="31"/>
      <c r="C515" s="31"/>
      <c r="D515" s="31"/>
      <c r="F515" s="40"/>
    </row>
    <row r="516" spans="1:6" ht="13" x14ac:dyDescent="0.15">
      <c r="A516" s="7"/>
      <c r="B516" s="31"/>
      <c r="C516" s="31"/>
      <c r="D516" s="31"/>
      <c r="F516" s="40"/>
    </row>
    <row r="517" spans="1:6" ht="13" x14ac:dyDescent="0.15">
      <c r="A517" s="7"/>
      <c r="B517" s="31"/>
      <c r="C517" s="31"/>
      <c r="D517" s="31"/>
      <c r="F517" s="40"/>
    </row>
    <row r="518" spans="1:6" ht="13" x14ac:dyDescent="0.15">
      <c r="A518" s="7"/>
      <c r="B518" s="31"/>
      <c r="C518" s="31"/>
      <c r="D518" s="31"/>
      <c r="F518" s="40"/>
    </row>
    <row r="519" spans="1:6" ht="13" x14ac:dyDescent="0.15">
      <c r="A519" s="7"/>
      <c r="B519" s="31"/>
      <c r="C519" s="31"/>
      <c r="D519" s="31"/>
      <c r="F519" s="40"/>
    </row>
    <row r="520" spans="1:6" ht="13" x14ac:dyDescent="0.15">
      <c r="A520" s="7"/>
      <c r="B520" s="31"/>
      <c r="C520" s="31"/>
      <c r="D520" s="31"/>
      <c r="F520" s="40"/>
    </row>
    <row r="521" spans="1:6" ht="13" x14ac:dyDescent="0.15">
      <c r="A521" s="7"/>
      <c r="B521" s="31"/>
      <c r="C521" s="31"/>
      <c r="D521" s="31"/>
      <c r="F521" s="40"/>
    </row>
    <row r="522" spans="1:6" ht="13" x14ac:dyDescent="0.15">
      <c r="A522" s="7"/>
      <c r="B522" s="31"/>
      <c r="C522" s="31"/>
      <c r="D522" s="31"/>
      <c r="F522" s="40"/>
    </row>
    <row r="523" spans="1:6" ht="13" x14ac:dyDescent="0.15">
      <c r="A523" s="7"/>
      <c r="B523" s="31"/>
      <c r="C523" s="31"/>
      <c r="D523" s="31"/>
      <c r="F523" s="40"/>
    </row>
    <row r="524" spans="1:6" ht="13" x14ac:dyDescent="0.15">
      <c r="A524" s="7"/>
      <c r="B524" s="31"/>
      <c r="C524" s="31"/>
      <c r="D524" s="31"/>
      <c r="F524" s="40"/>
    </row>
    <row r="525" spans="1:6" ht="13" x14ac:dyDescent="0.15">
      <c r="A525" s="7"/>
      <c r="B525" s="31"/>
      <c r="C525" s="31"/>
      <c r="D525" s="31"/>
      <c r="F525" s="40"/>
    </row>
    <row r="526" spans="1:6" ht="13" x14ac:dyDescent="0.15">
      <c r="A526" s="7"/>
      <c r="B526" s="31"/>
      <c r="C526" s="31"/>
      <c r="D526" s="31"/>
      <c r="F526" s="40"/>
    </row>
    <row r="527" spans="1:6" ht="13" x14ac:dyDescent="0.15">
      <c r="A527" s="7"/>
      <c r="B527" s="31"/>
      <c r="C527" s="31"/>
      <c r="D527" s="31"/>
      <c r="F527" s="40"/>
    </row>
    <row r="528" spans="1:6" ht="13" x14ac:dyDescent="0.15">
      <c r="A528" s="7"/>
      <c r="B528" s="31"/>
      <c r="C528" s="31"/>
      <c r="D528" s="31"/>
      <c r="F528" s="40"/>
    </row>
    <row r="529" spans="1:6" ht="13" x14ac:dyDescent="0.15">
      <c r="A529" s="7"/>
      <c r="B529" s="31"/>
      <c r="C529" s="31"/>
      <c r="D529" s="31"/>
      <c r="F529" s="40"/>
    </row>
    <row r="530" spans="1:6" ht="13" x14ac:dyDescent="0.15">
      <c r="A530" s="7"/>
      <c r="B530" s="31"/>
      <c r="C530" s="31"/>
      <c r="D530" s="31"/>
      <c r="F530" s="40"/>
    </row>
    <row r="531" spans="1:6" ht="13" x14ac:dyDescent="0.15">
      <c r="A531" s="7"/>
      <c r="B531" s="31"/>
      <c r="C531" s="31"/>
      <c r="D531" s="31"/>
      <c r="F531" s="40"/>
    </row>
    <row r="532" spans="1:6" ht="13" x14ac:dyDescent="0.15">
      <c r="A532" s="7"/>
      <c r="B532" s="31"/>
      <c r="C532" s="31"/>
      <c r="D532" s="31"/>
      <c r="F532" s="40"/>
    </row>
    <row r="533" spans="1:6" ht="13" x14ac:dyDescent="0.15">
      <c r="A533" s="7"/>
      <c r="B533" s="31"/>
      <c r="C533" s="31"/>
      <c r="D533" s="31"/>
      <c r="F533" s="40"/>
    </row>
    <row r="534" spans="1:6" ht="13" x14ac:dyDescent="0.15">
      <c r="A534" s="7"/>
      <c r="B534" s="31"/>
      <c r="C534" s="31"/>
      <c r="D534" s="31"/>
      <c r="F534" s="40"/>
    </row>
    <row r="535" spans="1:6" ht="13" x14ac:dyDescent="0.15">
      <c r="A535" s="7"/>
      <c r="B535" s="31"/>
      <c r="C535" s="31"/>
      <c r="D535" s="31"/>
      <c r="F535" s="40"/>
    </row>
    <row r="536" spans="1:6" ht="13" x14ac:dyDescent="0.15">
      <c r="A536" s="7"/>
      <c r="B536" s="31"/>
      <c r="C536" s="31"/>
      <c r="D536" s="31"/>
      <c r="F536" s="40"/>
    </row>
    <row r="537" spans="1:6" ht="13" x14ac:dyDescent="0.15">
      <c r="A537" s="7"/>
      <c r="B537" s="31"/>
      <c r="C537" s="31"/>
      <c r="D537" s="31"/>
      <c r="F537" s="40"/>
    </row>
    <row r="538" spans="1:6" ht="13" x14ac:dyDescent="0.15">
      <c r="A538" s="7"/>
      <c r="B538" s="31"/>
      <c r="C538" s="31"/>
      <c r="D538" s="31"/>
      <c r="F538" s="40"/>
    </row>
    <row r="539" spans="1:6" ht="13" x14ac:dyDescent="0.15">
      <c r="A539" s="7"/>
      <c r="B539" s="31"/>
      <c r="C539" s="31"/>
      <c r="D539" s="31"/>
      <c r="F539" s="40"/>
    </row>
    <row r="540" spans="1:6" ht="13" x14ac:dyDescent="0.15">
      <c r="A540" s="7"/>
      <c r="B540" s="31"/>
      <c r="C540" s="31"/>
      <c r="D540" s="31"/>
      <c r="F540" s="40"/>
    </row>
    <row r="541" spans="1:6" ht="13" x14ac:dyDescent="0.15">
      <c r="A541" s="7"/>
      <c r="B541" s="31"/>
      <c r="C541" s="31"/>
      <c r="D541" s="31"/>
      <c r="F541" s="40"/>
    </row>
    <row r="542" spans="1:6" ht="13" x14ac:dyDescent="0.15">
      <c r="A542" s="7"/>
      <c r="B542" s="31"/>
      <c r="C542" s="31"/>
      <c r="D542" s="31"/>
      <c r="F542" s="40"/>
    </row>
    <row r="543" spans="1:6" ht="13" x14ac:dyDescent="0.15">
      <c r="A543" s="7"/>
      <c r="B543" s="31"/>
      <c r="C543" s="31"/>
      <c r="D543" s="31"/>
      <c r="F543" s="40"/>
    </row>
    <row r="544" spans="1:6" ht="13" x14ac:dyDescent="0.15">
      <c r="A544" s="7"/>
      <c r="B544" s="31"/>
      <c r="C544" s="31"/>
      <c r="D544" s="31"/>
      <c r="F544" s="40"/>
    </row>
    <row r="545" spans="1:6" ht="13" x14ac:dyDescent="0.15">
      <c r="A545" s="7"/>
      <c r="B545" s="31"/>
      <c r="C545" s="31"/>
      <c r="D545" s="31"/>
      <c r="F545" s="40"/>
    </row>
    <row r="546" spans="1:6" ht="13" x14ac:dyDescent="0.15">
      <c r="A546" s="7"/>
      <c r="B546" s="31"/>
      <c r="C546" s="31"/>
      <c r="D546" s="31"/>
      <c r="F546" s="40"/>
    </row>
    <row r="547" spans="1:6" ht="13" x14ac:dyDescent="0.15">
      <c r="A547" s="7"/>
      <c r="B547" s="31"/>
      <c r="C547" s="31"/>
      <c r="D547" s="31"/>
      <c r="F547" s="40"/>
    </row>
    <row r="548" spans="1:6" ht="13" x14ac:dyDescent="0.15">
      <c r="A548" s="7"/>
      <c r="B548" s="31"/>
      <c r="C548" s="31"/>
      <c r="D548" s="31"/>
      <c r="F548" s="40"/>
    </row>
    <row r="549" spans="1:6" ht="13" x14ac:dyDescent="0.15">
      <c r="A549" s="7"/>
      <c r="B549" s="31"/>
      <c r="C549" s="31"/>
      <c r="D549" s="31"/>
      <c r="F549" s="40"/>
    </row>
    <row r="550" spans="1:6" ht="13" x14ac:dyDescent="0.15">
      <c r="A550" s="7"/>
      <c r="B550" s="31"/>
      <c r="C550" s="31"/>
      <c r="D550" s="31"/>
      <c r="F550" s="40"/>
    </row>
    <row r="551" spans="1:6" ht="13" x14ac:dyDescent="0.15">
      <c r="A551" s="7"/>
      <c r="B551" s="31"/>
      <c r="C551" s="31"/>
      <c r="D551" s="31"/>
      <c r="F551" s="40"/>
    </row>
    <row r="552" spans="1:6" ht="13" x14ac:dyDescent="0.15">
      <c r="A552" s="7"/>
      <c r="B552" s="31"/>
      <c r="C552" s="31"/>
      <c r="D552" s="31"/>
      <c r="F552" s="40"/>
    </row>
    <row r="553" spans="1:6" ht="13" x14ac:dyDescent="0.15">
      <c r="A553" s="7"/>
      <c r="B553" s="31"/>
      <c r="C553" s="31"/>
      <c r="D553" s="31"/>
      <c r="F553" s="40"/>
    </row>
    <row r="554" spans="1:6" ht="13" x14ac:dyDescent="0.15">
      <c r="A554" s="7"/>
      <c r="B554" s="31"/>
      <c r="C554" s="31"/>
      <c r="D554" s="31"/>
      <c r="F554" s="40"/>
    </row>
    <row r="555" spans="1:6" ht="13" x14ac:dyDescent="0.15">
      <c r="A555" s="7"/>
      <c r="B555" s="31"/>
      <c r="C555" s="31"/>
      <c r="D555" s="31"/>
      <c r="F555" s="40"/>
    </row>
    <row r="556" spans="1:6" ht="13" x14ac:dyDescent="0.15">
      <c r="A556" s="7"/>
      <c r="B556" s="31"/>
      <c r="C556" s="31"/>
      <c r="D556" s="31"/>
      <c r="F556" s="40"/>
    </row>
    <row r="557" spans="1:6" ht="13" x14ac:dyDescent="0.15">
      <c r="A557" s="7"/>
      <c r="B557" s="31"/>
      <c r="C557" s="31"/>
      <c r="D557" s="31"/>
      <c r="F557" s="40"/>
    </row>
    <row r="558" spans="1:6" ht="13" x14ac:dyDescent="0.15">
      <c r="A558" s="7"/>
      <c r="B558" s="31"/>
      <c r="C558" s="31"/>
      <c r="D558" s="31"/>
      <c r="F558" s="40"/>
    </row>
    <row r="559" spans="1:6" ht="13" x14ac:dyDescent="0.15">
      <c r="A559" s="7"/>
      <c r="B559" s="31"/>
      <c r="C559" s="31"/>
      <c r="D559" s="31"/>
      <c r="F559" s="40"/>
    </row>
    <row r="560" spans="1:6" ht="13" x14ac:dyDescent="0.15">
      <c r="A560" s="7"/>
      <c r="B560" s="31"/>
      <c r="C560" s="31"/>
      <c r="D560" s="31"/>
      <c r="F560" s="40"/>
    </row>
    <row r="561" spans="1:6" ht="13" x14ac:dyDescent="0.15">
      <c r="A561" s="7"/>
      <c r="B561" s="31"/>
      <c r="C561" s="31"/>
      <c r="D561" s="31"/>
      <c r="F561" s="40"/>
    </row>
    <row r="562" spans="1:6" ht="13" x14ac:dyDescent="0.15">
      <c r="A562" s="7"/>
      <c r="B562" s="31"/>
      <c r="C562" s="31"/>
      <c r="D562" s="31"/>
      <c r="F562" s="40"/>
    </row>
    <row r="563" spans="1:6" ht="13" x14ac:dyDescent="0.15">
      <c r="A563" s="7"/>
      <c r="B563" s="31"/>
      <c r="C563" s="31"/>
      <c r="D563" s="31"/>
      <c r="F563" s="40"/>
    </row>
    <row r="564" spans="1:6" ht="13" x14ac:dyDescent="0.15">
      <c r="A564" s="7"/>
      <c r="B564" s="31"/>
      <c r="C564" s="31"/>
      <c r="D564" s="31"/>
      <c r="F564" s="40"/>
    </row>
    <row r="565" spans="1:6" ht="13" x14ac:dyDescent="0.15">
      <c r="A565" s="7"/>
      <c r="B565" s="31"/>
      <c r="C565" s="31"/>
      <c r="D565" s="31"/>
      <c r="F565" s="40"/>
    </row>
    <row r="566" spans="1:6" ht="13" x14ac:dyDescent="0.15">
      <c r="A566" s="7"/>
      <c r="B566" s="31"/>
      <c r="C566" s="31"/>
      <c r="D566" s="31"/>
      <c r="F566" s="40"/>
    </row>
    <row r="567" spans="1:6" ht="13" x14ac:dyDescent="0.15">
      <c r="A567" s="7"/>
      <c r="B567" s="31"/>
      <c r="C567" s="31"/>
      <c r="D567" s="31"/>
      <c r="F567" s="40"/>
    </row>
    <row r="568" spans="1:6" ht="13" x14ac:dyDescent="0.15">
      <c r="A568" s="7"/>
      <c r="B568" s="31"/>
      <c r="C568" s="31"/>
      <c r="D568" s="31"/>
      <c r="F568" s="40"/>
    </row>
    <row r="569" spans="1:6" ht="13" x14ac:dyDescent="0.15">
      <c r="A569" s="7"/>
      <c r="B569" s="31"/>
      <c r="C569" s="31"/>
      <c r="D569" s="31"/>
      <c r="F569" s="40"/>
    </row>
    <row r="570" spans="1:6" ht="13" x14ac:dyDescent="0.15">
      <c r="A570" s="7"/>
      <c r="B570" s="31"/>
      <c r="C570" s="31"/>
      <c r="D570" s="31"/>
      <c r="F570" s="40"/>
    </row>
    <row r="571" spans="1:6" ht="13" x14ac:dyDescent="0.15">
      <c r="A571" s="7"/>
      <c r="B571" s="31"/>
      <c r="C571" s="31"/>
      <c r="D571" s="31"/>
      <c r="F571" s="40"/>
    </row>
    <row r="572" spans="1:6" ht="13" x14ac:dyDescent="0.15">
      <c r="A572" s="7"/>
      <c r="B572" s="31"/>
      <c r="C572" s="31"/>
      <c r="D572" s="31"/>
      <c r="F572" s="40"/>
    </row>
    <row r="573" spans="1:6" ht="13" x14ac:dyDescent="0.15">
      <c r="A573" s="7"/>
      <c r="B573" s="31"/>
      <c r="C573" s="31"/>
      <c r="D573" s="31"/>
      <c r="F573" s="40"/>
    </row>
    <row r="574" spans="1:6" ht="13" x14ac:dyDescent="0.15">
      <c r="A574" s="7"/>
      <c r="B574" s="31"/>
      <c r="C574" s="31"/>
      <c r="D574" s="31"/>
      <c r="F574" s="40"/>
    </row>
    <row r="575" spans="1:6" ht="13" x14ac:dyDescent="0.15">
      <c r="A575" s="7"/>
      <c r="B575" s="31"/>
      <c r="C575" s="31"/>
      <c r="D575" s="31"/>
      <c r="F575" s="40"/>
    </row>
    <row r="576" spans="1:6" ht="13" x14ac:dyDescent="0.15">
      <c r="A576" s="7"/>
      <c r="B576" s="31"/>
      <c r="C576" s="31"/>
      <c r="D576" s="31"/>
      <c r="F576" s="40"/>
    </row>
    <row r="577" spans="1:6" ht="13" x14ac:dyDescent="0.15">
      <c r="A577" s="7"/>
      <c r="B577" s="31"/>
      <c r="C577" s="31"/>
      <c r="D577" s="31"/>
      <c r="F577" s="40"/>
    </row>
    <row r="578" spans="1:6" ht="13" x14ac:dyDescent="0.15">
      <c r="A578" s="7"/>
      <c r="B578" s="31"/>
      <c r="C578" s="31"/>
      <c r="D578" s="31"/>
      <c r="F578" s="40"/>
    </row>
    <row r="579" spans="1:6" ht="13" x14ac:dyDescent="0.15">
      <c r="A579" s="7"/>
      <c r="B579" s="31"/>
      <c r="C579" s="31"/>
      <c r="D579" s="31"/>
      <c r="F579" s="40"/>
    </row>
    <row r="580" spans="1:6" ht="13" x14ac:dyDescent="0.15">
      <c r="A580" s="7"/>
      <c r="B580" s="31"/>
      <c r="C580" s="31"/>
      <c r="D580" s="31"/>
      <c r="F580" s="40"/>
    </row>
    <row r="581" spans="1:6" ht="13" x14ac:dyDescent="0.15">
      <c r="A581" s="7"/>
      <c r="B581" s="31"/>
      <c r="C581" s="31"/>
      <c r="D581" s="31"/>
      <c r="F581" s="40"/>
    </row>
    <row r="582" spans="1:6" ht="13" x14ac:dyDescent="0.15">
      <c r="A582" s="7"/>
      <c r="B582" s="31"/>
      <c r="C582" s="31"/>
      <c r="D582" s="31"/>
      <c r="F582" s="40"/>
    </row>
    <row r="583" spans="1:6" ht="13" x14ac:dyDescent="0.15">
      <c r="A583" s="7"/>
      <c r="B583" s="31"/>
      <c r="C583" s="31"/>
      <c r="D583" s="31"/>
      <c r="F583" s="40"/>
    </row>
    <row r="584" spans="1:6" ht="13" x14ac:dyDescent="0.15">
      <c r="A584" s="7"/>
      <c r="B584" s="31"/>
      <c r="C584" s="31"/>
      <c r="D584" s="31"/>
      <c r="F584" s="40"/>
    </row>
    <row r="585" spans="1:6" ht="13" x14ac:dyDescent="0.15">
      <c r="A585" s="7"/>
      <c r="B585" s="31"/>
      <c r="C585" s="31"/>
      <c r="D585" s="31"/>
      <c r="F585" s="40"/>
    </row>
    <row r="586" spans="1:6" ht="13" x14ac:dyDescent="0.15">
      <c r="A586" s="7"/>
      <c r="B586" s="31"/>
      <c r="C586" s="31"/>
      <c r="D586" s="31"/>
      <c r="F586" s="40"/>
    </row>
    <row r="587" spans="1:6" ht="13" x14ac:dyDescent="0.15">
      <c r="A587" s="7"/>
      <c r="B587" s="31"/>
      <c r="C587" s="31"/>
      <c r="D587" s="31"/>
      <c r="F587" s="40"/>
    </row>
    <row r="588" spans="1:6" ht="13" x14ac:dyDescent="0.15">
      <c r="A588" s="7"/>
      <c r="B588" s="31"/>
      <c r="C588" s="31"/>
      <c r="D588" s="31"/>
      <c r="F588" s="40"/>
    </row>
    <row r="589" spans="1:6" ht="13" x14ac:dyDescent="0.15">
      <c r="A589" s="7"/>
      <c r="B589" s="31"/>
      <c r="C589" s="31"/>
      <c r="D589" s="31"/>
      <c r="F589" s="40"/>
    </row>
    <row r="590" spans="1:6" ht="13" x14ac:dyDescent="0.15">
      <c r="A590" s="7"/>
      <c r="B590" s="31"/>
      <c r="C590" s="31"/>
      <c r="D590" s="31"/>
      <c r="F590" s="40"/>
    </row>
    <row r="591" spans="1:6" ht="13" x14ac:dyDescent="0.15">
      <c r="A591" s="7"/>
      <c r="B591" s="31"/>
      <c r="C591" s="31"/>
      <c r="D591" s="31"/>
      <c r="F591" s="40"/>
    </row>
    <row r="592" spans="1:6" ht="13" x14ac:dyDescent="0.15">
      <c r="A592" s="7"/>
      <c r="B592" s="31"/>
      <c r="C592" s="31"/>
      <c r="D592" s="31"/>
      <c r="F592" s="40"/>
    </row>
    <row r="593" spans="1:6" ht="13" x14ac:dyDescent="0.15">
      <c r="A593" s="7"/>
      <c r="B593" s="31"/>
      <c r="C593" s="31"/>
      <c r="D593" s="31"/>
      <c r="F593" s="40"/>
    </row>
    <row r="594" spans="1:6" ht="13" x14ac:dyDescent="0.15">
      <c r="A594" s="7"/>
      <c r="B594" s="31"/>
      <c r="C594" s="31"/>
      <c r="D594" s="31"/>
      <c r="F594" s="40"/>
    </row>
    <row r="595" spans="1:6" ht="13" x14ac:dyDescent="0.15">
      <c r="A595" s="7"/>
      <c r="B595" s="31"/>
      <c r="C595" s="31"/>
      <c r="D595" s="31"/>
      <c r="F595" s="40"/>
    </row>
    <row r="596" spans="1:6" ht="13" x14ac:dyDescent="0.15">
      <c r="A596" s="7"/>
      <c r="B596" s="31"/>
      <c r="C596" s="31"/>
      <c r="D596" s="31"/>
      <c r="F596" s="40"/>
    </row>
    <row r="597" spans="1:6" ht="13" x14ac:dyDescent="0.15">
      <c r="A597" s="7"/>
      <c r="B597" s="31"/>
      <c r="C597" s="31"/>
      <c r="D597" s="31"/>
      <c r="F597" s="40"/>
    </row>
    <row r="598" spans="1:6" ht="13" x14ac:dyDescent="0.15">
      <c r="A598" s="7"/>
      <c r="B598" s="31"/>
      <c r="C598" s="31"/>
      <c r="D598" s="31"/>
      <c r="F598" s="40"/>
    </row>
    <row r="599" spans="1:6" ht="13" x14ac:dyDescent="0.15">
      <c r="A599" s="7"/>
      <c r="B599" s="31"/>
      <c r="C599" s="31"/>
      <c r="D599" s="31"/>
      <c r="F599" s="40"/>
    </row>
    <row r="600" spans="1:6" ht="13" x14ac:dyDescent="0.15">
      <c r="A600" s="7"/>
      <c r="B600" s="31"/>
      <c r="C600" s="31"/>
      <c r="D600" s="31"/>
      <c r="F600" s="40"/>
    </row>
    <row r="601" spans="1:6" ht="13" x14ac:dyDescent="0.15">
      <c r="A601" s="7"/>
      <c r="B601" s="31"/>
      <c r="C601" s="31"/>
      <c r="D601" s="31"/>
      <c r="F601" s="40"/>
    </row>
    <row r="602" spans="1:6" ht="13" x14ac:dyDescent="0.15">
      <c r="A602" s="7"/>
      <c r="B602" s="31"/>
      <c r="C602" s="31"/>
      <c r="D602" s="31"/>
      <c r="F602" s="40"/>
    </row>
    <row r="603" spans="1:6" ht="13" x14ac:dyDescent="0.15">
      <c r="A603" s="7"/>
      <c r="B603" s="31"/>
      <c r="C603" s="31"/>
      <c r="D603" s="31"/>
      <c r="F603" s="40"/>
    </row>
    <row r="604" spans="1:6" ht="13" x14ac:dyDescent="0.15">
      <c r="A604" s="7"/>
      <c r="B604" s="31"/>
      <c r="C604" s="31"/>
      <c r="D604" s="31"/>
      <c r="F604" s="40"/>
    </row>
    <row r="605" spans="1:6" ht="13" x14ac:dyDescent="0.15">
      <c r="A605" s="7"/>
      <c r="B605" s="31"/>
      <c r="C605" s="31"/>
      <c r="D605" s="31"/>
      <c r="F605" s="40"/>
    </row>
    <row r="606" spans="1:6" ht="13" x14ac:dyDescent="0.15">
      <c r="A606" s="7"/>
      <c r="B606" s="31"/>
      <c r="C606" s="31"/>
      <c r="D606" s="31"/>
      <c r="F606" s="40"/>
    </row>
    <row r="607" spans="1:6" ht="13" x14ac:dyDescent="0.15">
      <c r="A607" s="7"/>
      <c r="B607" s="31"/>
      <c r="C607" s="31"/>
      <c r="D607" s="31"/>
      <c r="F607" s="40"/>
    </row>
    <row r="608" spans="1:6" ht="13" x14ac:dyDescent="0.15">
      <c r="A608" s="7"/>
      <c r="B608" s="31"/>
      <c r="C608" s="31"/>
      <c r="D608" s="31"/>
      <c r="F608" s="40"/>
    </row>
    <row r="609" spans="1:6" ht="13" x14ac:dyDescent="0.15">
      <c r="A609" s="7"/>
      <c r="B609" s="31"/>
      <c r="C609" s="31"/>
      <c r="D609" s="31"/>
      <c r="F609" s="40"/>
    </row>
    <row r="610" spans="1:6" ht="13" x14ac:dyDescent="0.15">
      <c r="A610" s="7"/>
      <c r="B610" s="31"/>
      <c r="C610" s="31"/>
      <c r="D610" s="31"/>
      <c r="F610" s="40"/>
    </row>
    <row r="611" spans="1:6" ht="13" x14ac:dyDescent="0.15">
      <c r="A611" s="7"/>
      <c r="B611" s="31"/>
      <c r="C611" s="31"/>
      <c r="D611" s="31"/>
      <c r="F611" s="40"/>
    </row>
    <row r="612" spans="1:6" ht="13" x14ac:dyDescent="0.15">
      <c r="A612" s="7"/>
      <c r="B612" s="31"/>
      <c r="C612" s="31"/>
      <c r="D612" s="31"/>
      <c r="F612" s="40"/>
    </row>
    <row r="613" spans="1:6" ht="13" x14ac:dyDescent="0.15">
      <c r="A613" s="7"/>
      <c r="B613" s="31"/>
      <c r="C613" s="31"/>
      <c r="D613" s="31"/>
      <c r="F613" s="40"/>
    </row>
    <row r="614" spans="1:6" ht="13" x14ac:dyDescent="0.15">
      <c r="A614" s="7"/>
      <c r="B614" s="31"/>
      <c r="C614" s="31"/>
      <c r="D614" s="31"/>
      <c r="F614" s="40"/>
    </row>
    <row r="615" spans="1:6" ht="13" x14ac:dyDescent="0.15">
      <c r="A615" s="7"/>
      <c r="B615" s="31"/>
      <c r="C615" s="31"/>
      <c r="D615" s="31"/>
      <c r="F615" s="40"/>
    </row>
    <row r="616" spans="1:6" ht="13" x14ac:dyDescent="0.15">
      <c r="A616" s="7"/>
      <c r="B616" s="31"/>
      <c r="C616" s="31"/>
      <c r="D616" s="31"/>
      <c r="F616" s="40"/>
    </row>
    <row r="617" spans="1:6" ht="13" x14ac:dyDescent="0.15">
      <c r="A617" s="7"/>
      <c r="B617" s="31"/>
      <c r="C617" s="31"/>
      <c r="D617" s="31"/>
      <c r="F617" s="40"/>
    </row>
    <row r="618" spans="1:6" ht="13" x14ac:dyDescent="0.15">
      <c r="A618" s="7"/>
      <c r="B618" s="31"/>
      <c r="C618" s="31"/>
      <c r="D618" s="31"/>
      <c r="F618" s="40"/>
    </row>
    <row r="619" spans="1:6" ht="13" x14ac:dyDescent="0.15">
      <c r="A619" s="7"/>
      <c r="B619" s="31"/>
      <c r="C619" s="31"/>
      <c r="D619" s="31"/>
      <c r="F619" s="40"/>
    </row>
    <row r="620" spans="1:6" ht="13" x14ac:dyDescent="0.15">
      <c r="A620" s="7"/>
      <c r="B620" s="31"/>
      <c r="C620" s="31"/>
      <c r="D620" s="31"/>
      <c r="F620" s="40"/>
    </row>
    <row r="621" spans="1:6" ht="13" x14ac:dyDescent="0.15">
      <c r="A621" s="7"/>
      <c r="B621" s="31"/>
      <c r="C621" s="31"/>
      <c r="D621" s="31"/>
      <c r="F621" s="40"/>
    </row>
    <row r="622" spans="1:6" ht="13" x14ac:dyDescent="0.15">
      <c r="A622" s="7"/>
      <c r="B622" s="31"/>
      <c r="C622" s="31"/>
      <c r="D622" s="31"/>
      <c r="F622" s="40"/>
    </row>
    <row r="623" spans="1:6" ht="13" x14ac:dyDescent="0.15">
      <c r="A623" s="7"/>
      <c r="B623" s="31"/>
      <c r="C623" s="31"/>
      <c r="D623" s="31"/>
      <c r="F623" s="40"/>
    </row>
    <row r="624" spans="1:6" ht="13" x14ac:dyDescent="0.15">
      <c r="A624" s="7"/>
      <c r="B624" s="31"/>
      <c r="C624" s="31"/>
      <c r="D624" s="31"/>
      <c r="F624" s="40"/>
    </row>
    <row r="625" spans="1:6" ht="13" x14ac:dyDescent="0.15">
      <c r="A625" s="7"/>
      <c r="B625" s="31"/>
      <c r="C625" s="31"/>
      <c r="D625" s="31"/>
      <c r="F625" s="40"/>
    </row>
    <row r="626" spans="1:6" ht="13" x14ac:dyDescent="0.15">
      <c r="A626" s="7"/>
      <c r="B626" s="31"/>
      <c r="C626" s="31"/>
      <c r="D626" s="31"/>
      <c r="F626" s="40"/>
    </row>
    <row r="627" spans="1:6" ht="13" x14ac:dyDescent="0.15">
      <c r="A627" s="7"/>
      <c r="B627" s="31"/>
      <c r="C627" s="31"/>
      <c r="D627" s="31"/>
      <c r="F627" s="40"/>
    </row>
    <row r="628" spans="1:6" ht="13" x14ac:dyDescent="0.15">
      <c r="A628" s="7"/>
      <c r="B628" s="31"/>
      <c r="C628" s="31"/>
      <c r="D628" s="31"/>
      <c r="F628" s="40"/>
    </row>
    <row r="629" spans="1:6" ht="13" x14ac:dyDescent="0.15">
      <c r="A629" s="7"/>
      <c r="B629" s="31"/>
      <c r="C629" s="31"/>
      <c r="D629" s="31"/>
      <c r="F629" s="40"/>
    </row>
    <row r="630" spans="1:6" ht="13" x14ac:dyDescent="0.15">
      <c r="A630" s="7"/>
      <c r="B630" s="31"/>
      <c r="C630" s="31"/>
      <c r="D630" s="31"/>
      <c r="F630" s="40"/>
    </row>
    <row r="631" spans="1:6" ht="13" x14ac:dyDescent="0.15">
      <c r="A631" s="7"/>
      <c r="B631" s="31"/>
      <c r="C631" s="31"/>
      <c r="D631" s="31"/>
      <c r="F631" s="40"/>
    </row>
    <row r="632" spans="1:6" ht="13" x14ac:dyDescent="0.15">
      <c r="A632" s="7"/>
      <c r="B632" s="31"/>
      <c r="C632" s="31"/>
      <c r="D632" s="31"/>
      <c r="F632" s="40"/>
    </row>
    <row r="633" spans="1:6" ht="13" x14ac:dyDescent="0.15">
      <c r="A633" s="7"/>
      <c r="B633" s="31"/>
      <c r="C633" s="31"/>
      <c r="D633" s="31"/>
      <c r="F633" s="40"/>
    </row>
    <row r="634" spans="1:6" ht="13" x14ac:dyDescent="0.15">
      <c r="A634" s="7"/>
      <c r="B634" s="31"/>
      <c r="C634" s="31"/>
      <c r="D634" s="31"/>
      <c r="F634" s="40"/>
    </row>
    <row r="635" spans="1:6" ht="13" x14ac:dyDescent="0.15">
      <c r="A635" s="7"/>
      <c r="B635" s="31"/>
      <c r="C635" s="31"/>
      <c r="D635" s="31"/>
      <c r="F635" s="40"/>
    </row>
    <row r="636" spans="1:6" ht="13" x14ac:dyDescent="0.15">
      <c r="A636" s="7"/>
      <c r="B636" s="31"/>
      <c r="C636" s="31"/>
      <c r="D636" s="31"/>
      <c r="F636" s="40"/>
    </row>
    <row r="637" spans="1:6" ht="13" x14ac:dyDescent="0.15">
      <c r="A637" s="7"/>
      <c r="B637" s="31"/>
      <c r="C637" s="31"/>
      <c r="D637" s="31"/>
      <c r="F637" s="40"/>
    </row>
    <row r="638" spans="1:6" ht="13" x14ac:dyDescent="0.15">
      <c r="A638" s="7"/>
      <c r="B638" s="31"/>
      <c r="C638" s="31"/>
      <c r="D638" s="31"/>
      <c r="F638" s="40"/>
    </row>
    <row r="639" spans="1:6" ht="13" x14ac:dyDescent="0.15">
      <c r="A639" s="7"/>
      <c r="B639" s="31"/>
      <c r="C639" s="31"/>
      <c r="D639" s="31"/>
      <c r="F639" s="40"/>
    </row>
    <row r="640" spans="1:6" ht="13" x14ac:dyDescent="0.15">
      <c r="A640" s="7"/>
      <c r="B640" s="31"/>
      <c r="C640" s="31"/>
      <c r="D640" s="31"/>
      <c r="F640" s="40"/>
    </row>
    <row r="641" spans="1:6" ht="13" x14ac:dyDescent="0.15">
      <c r="A641" s="7"/>
      <c r="B641" s="31"/>
      <c r="C641" s="31"/>
      <c r="D641" s="31"/>
      <c r="F641" s="40"/>
    </row>
    <row r="642" spans="1:6" ht="13" x14ac:dyDescent="0.15">
      <c r="A642" s="7"/>
      <c r="B642" s="31"/>
      <c r="C642" s="31"/>
      <c r="D642" s="31"/>
      <c r="F642" s="40"/>
    </row>
    <row r="643" spans="1:6" ht="13" x14ac:dyDescent="0.15">
      <c r="A643" s="7"/>
      <c r="B643" s="31"/>
      <c r="C643" s="31"/>
      <c r="D643" s="31"/>
      <c r="F643" s="40"/>
    </row>
    <row r="644" spans="1:6" ht="13" x14ac:dyDescent="0.15">
      <c r="A644" s="7"/>
      <c r="B644" s="31"/>
      <c r="C644" s="31"/>
      <c r="D644" s="31"/>
      <c r="F644" s="40"/>
    </row>
    <row r="645" spans="1:6" ht="13" x14ac:dyDescent="0.15">
      <c r="A645" s="7"/>
      <c r="B645" s="31"/>
      <c r="C645" s="31"/>
      <c r="D645" s="31"/>
      <c r="F645" s="40"/>
    </row>
    <row r="646" spans="1:6" ht="13" x14ac:dyDescent="0.15">
      <c r="A646" s="7"/>
      <c r="B646" s="31"/>
      <c r="C646" s="31"/>
      <c r="D646" s="31"/>
      <c r="F646" s="40"/>
    </row>
    <row r="647" spans="1:6" ht="13" x14ac:dyDescent="0.15">
      <c r="A647" s="7"/>
      <c r="B647" s="31"/>
      <c r="C647" s="31"/>
      <c r="D647" s="31"/>
      <c r="F647" s="40"/>
    </row>
    <row r="648" spans="1:6" ht="13" x14ac:dyDescent="0.15">
      <c r="A648" s="7"/>
      <c r="B648" s="31"/>
      <c r="C648" s="31"/>
      <c r="D648" s="31"/>
      <c r="F648" s="40"/>
    </row>
    <row r="649" spans="1:6" ht="13" x14ac:dyDescent="0.15">
      <c r="A649" s="7"/>
      <c r="B649" s="31"/>
      <c r="C649" s="31"/>
      <c r="D649" s="31"/>
      <c r="F649" s="40"/>
    </row>
    <row r="650" spans="1:6" ht="13" x14ac:dyDescent="0.15">
      <c r="A650" s="7"/>
      <c r="B650" s="31"/>
      <c r="C650" s="31"/>
      <c r="D650" s="31"/>
      <c r="F650" s="40"/>
    </row>
    <row r="651" spans="1:6" ht="13" x14ac:dyDescent="0.15">
      <c r="A651" s="7"/>
      <c r="B651" s="31"/>
      <c r="C651" s="31"/>
      <c r="D651" s="31"/>
      <c r="F651" s="40"/>
    </row>
    <row r="652" spans="1:6" ht="13" x14ac:dyDescent="0.15">
      <c r="A652" s="7"/>
      <c r="B652" s="31"/>
      <c r="C652" s="31"/>
      <c r="D652" s="31"/>
      <c r="F652" s="40"/>
    </row>
    <row r="653" spans="1:6" ht="13" x14ac:dyDescent="0.15">
      <c r="A653" s="7"/>
      <c r="B653" s="31"/>
      <c r="C653" s="31"/>
      <c r="D653" s="31"/>
      <c r="F653" s="40"/>
    </row>
    <row r="654" spans="1:6" ht="13" x14ac:dyDescent="0.15">
      <c r="A654" s="7"/>
      <c r="B654" s="31"/>
      <c r="C654" s="31"/>
      <c r="D654" s="31"/>
      <c r="F654" s="40"/>
    </row>
    <row r="655" spans="1:6" ht="13" x14ac:dyDescent="0.15">
      <c r="A655" s="7"/>
      <c r="B655" s="31"/>
      <c r="C655" s="31"/>
      <c r="D655" s="31"/>
      <c r="F655" s="40"/>
    </row>
    <row r="656" spans="1:6" ht="13" x14ac:dyDescent="0.15">
      <c r="A656" s="7"/>
      <c r="B656" s="31"/>
      <c r="C656" s="31"/>
      <c r="D656" s="31"/>
      <c r="F656" s="40"/>
    </row>
    <row r="657" spans="1:6" ht="13" x14ac:dyDescent="0.15">
      <c r="A657" s="7"/>
      <c r="B657" s="31"/>
      <c r="C657" s="31"/>
      <c r="D657" s="31"/>
      <c r="F657" s="40"/>
    </row>
    <row r="658" spans="1:6" ht="13" x14ac:dyDescent="0.15">
      <c r="A658" s="7"/>
      <c r="B658" s="31"/>
      <c r="C658" s="31"/>
      <c r="D658" s="31"/>
      <c r="F658" s="40"/>
    </row>
    <row r="659" spans="1:6" ht="13" x14ac:dyDescent="0.15">
      <c r="A659" s="7"/>
      <c r="B659" s="31"/>
      <c r="C659" s="31"/>
      <c r="D659" s="31"/>
      <c r="F659" s="40"/>
    </row>
    <row r="660" spans="1:6" ht="13" x14ac:dyDescent="0.15">
      <c r="A660" s="7"/>
      <c r="B660" s="31"/>
      <c r="C660" s="31"/>
      <c r="D660" s="31"/>
      <c r="F660" s="40"/>
    </row>
    <row r="661" spans="1:6" ht="13" x14ac:dyDescent="0.15">
      <c r="A661" s="7"/>
      <c r="B661" s="31"/>
      <c r="C661" s="31"/>
      <c r="D661" s="31"/>
      <c r="F661" s="40"/>
    </row>
    <row r="662" spans="1:6" ht="13" x14ac:dyDescent="0.15">
      <c r="A662" s="7"/>
      <c r="B662" s="31"/>
      <c r="C662" s="31"/>
      <c r="D662" s="31"/>
      <c r="F662" s="40"/>
    </row>
    <row r="663" spans="1:6" ht="13" x14ac:dyDescent="0.15">
      <c r="A663" s="7"/>
      <c r="B663" s="31"/>
      <c r="C663" s="31"/>
      <c r="D663" s="31"/>
      <c r="F663" s="40"/>
    </row>
    <row r="664" spans="1:6" ht="13" x14ac:dyDescent="0.15">
      <c r="A664" s="7"/>
      <c r="B664" s="31"/>
      <c r="C664" s="31"/>
      <c r="D664" s="31"/>
      <c r="F664" s="40"/>
    </row>
    <row r="665" spans="1:6" ht="13" x14ac:dyDescent="0.15">
      <c r="A665" s="7"/>
      <c r="B665" s="31"/>
      <c r="C665" s="31"/>
      <c r="D665" s="31"/>
      <c r="F665" s="40"/>
    </row>
    <row r="666" spans="1:6" ht="13" x14ac:dyDescent="0.15">
      <c r="A666" s="7"/>
      <c r="B666" s="31"/>
      <c r="C666" s="31"/>
      <c r="D666" s="31"/>
      <c r="F666" s="40"/>
    </row>
    <row r="667" spans="1:6" ht="13" x14ac:dyDescent="0.15">
      <c r="A667" s="7"/>
      <c r="B667" s="31"/>
      <c r="C667" s="31"/>
      <c r="D667" s="31"/>
      <c r="F667" s="40"/>
    </row>
    <row r="668" spans="1:6" ht="13" x14ac:dyDescent="0.15">
      <c r="A668" s="7"/>
      <c r="B668" s="31"/>
      <c r="C668" s="31"/>
      <c r="D668" s="31"/>
      <c r="F668" s="40"/>
    </row>
    <row r="669" spans="1:6" ht="13" x14ac:dyDescent="0.15">
      <c r="A669" s="7"/>
      <c r="B669" s="31"/>
      <c r="C669" s="31"/>
      <c r="D669" s="31"/>
      <c r="F669" s="40"/>
    </row>
    <row r="670" spans="1:6" ht="13" x14ac:dyDescent="0.15">
      <c r="A670" s="7"/>
      <c r="B670" s="31"/>
      <c r="C670" s="31"/>
      <c r="D670" s="31"/>
      <c r="F670" s="40"/>
    </row>
    <row r="671" spans="1:6" ht="13" x14ac:dyDescent="0.15">
      <c r="A671" s="7"/>
      <c r="B671" s="31"/>
      <c r="C671" s="31"/>
      <c r="D671" s="31"/>
      <c r="F671" s="40"/>
    </row>
    <row r="672" spans="1:6" ht="13" x14ac:dyDescent="0.15">
      <c r="A672" s="7"/>
      <c r="B672" s="31"/>
      <c r="C672" s="31"/>
      <c r="D672" s="31"/>
      <c r="F672" s="40"/>
    </row>
    <row r="673" spans="1:6" ht="13" x14ac:dyDescent="0.15">
      <c r="A673" s="7"/>
      <c r="B673" s="31"/>
      <c r="C673" s="31"/>
      <c r="D673" s="31"/>
      <c r="F673" s="40"/>
    </row>
    <row r="674" spans="1:6" ht="13" x14ac:dyDescent="0.15">
      <c r="A674" s="7"/>
      <c r="B674" s="31"/>
      <c r="C674" s="31"/>
      <c r="D674" s="31"/>
      <c r="F674" s="40"/>
    </row>
    <row r="675" spans="1:6" ht="13" x14ac:dyDescent="0.15">
      <c r="A675" s="7"/>
      <c r="B675" s="31"/>
      <c r="C675" s="31"/>
      <c r="D675" s="31"/>
      <c r="F675" s="40"/>
    </row>
    <row r="676" spans="1:6" ht="13" x14ac:dyDescent="0.15">
      <c r="A676" s="7"/>
      <c r="B676" s="31"/>
      <c r="C676" s="31"/>
      <c r="D676" s="31"/>
      <c r="F676" s="40"/>
    </row>
    <row r="677" spans="1:6" ht="13" x14ac:dyDescent="0.15">
      <c r="A677" s="7"/>
      <c r="B677" s="31"/>
      <c r="C677" s="31"/>
      <c r="D677" s="31"/>
      <c r="F677" s="40"/>
    </row>
    <row r="678" spans="1:6" ht="13" x14ac:dyDescent="0.15">
      <c r="A678" s="7"/>
      <c r="B678" s="31"/>
      <c r="C678" s="31"/>
      <c r="D678" s="31"/>
      <c r="F678" s="40"/>
    </row>
    <row r="679" spans="1:6" ht="13" x14ac:dyDescent="0.15">
      <c r="A679" s="7"/>
      <c r="B679" s="31"/>
      <c r="C679" s="31"/>
      <c r="D679" s="31"/>
      <c r="F679" s="40"/>
    </row>
    <row r="680" spans="1:6" ht="13" x14ac:dyDescent="0.15">
      <c r="A680" s="7"/>
      <c r="B680" s="31"/>
      <c r="C680" s="31"/>
      <c r="D680" s="31"/>
      <c r="F680" s="40"/>
    </row>
    <row r="681" spans="1:6" ht="13" x14ac:dyDescent="0.15">
      <c r="A681" s="7"/>
      <c r="B681" s="31"/>
      <c r="C681" s="31"/>
      <c r="D681" s="31"/>
      <c r="F681" s="40"/>
    </row>
    <row r="682" spans="1:6" ht="13" x14ac:dyDescent="0.15">
      <c r="A682" s="7"/>
      <c r="B682" s="31"/>
      <c r="C682" s="31"/>
      <c r="D682" s="31"/>
      <c r="F682" s="40"/>
    </row>
    <row r="683" spans="1:6" ht="13" x14ac:dyDescent="0.15">
      <c r="A683" s="7"/>
      <c r="B683" s="31"/>
      <c r="C683" s="31"/>
      <c r="D683" s="31"/>
      <c r="F683" s="40"/>
    </row>
    <row r="684" spans="1:6" ht="13" x14ac:dyDescent="0.15">
      <c r="A684" s="7"/>
      <c r="B684" s="31"/>
      <c r="C684" s="31"/>
      <c r="D684" s="31"/>
      <c r="F684" s="40"/>
    </row>
    <row r="685" spans="1:6" ht="13" x14ac:dyDescent="0.15">
      <c r="A685" s="7"/>
      <c r="B685" s="31"/>
      <c r="C685" s="31"/>
      <c r="D685" s="31"/>
      <c r="F685" s="40"/>
    </row>
    <row r="686" spans="1:6" ht="13" x14ac:dyDescent="0.15">
      <c r="A686" s="7"/>
      <c r="B686" s="31"/>
      <c r="C686" s="31"/>
      <c r="D686" s="31"/>
      <c r="F686" s="40"/>
    </row>
    <row r="687" spans="1:6" ht="13" x14ac:dyDescent="0.15">
      <c r="A687" s="7"/>
      <c r="B687" s="31"/>
      <c r="C687" s="31"/>
      <c r="D687" s="31"/>
      <c r="F687" s="40"/>
    </row>
    <row r="688" spans="1:6" ht="13" x14ac:dyDescent="0.15">
      <c r="A688" s="7"/>
      <c r="B688" s="31"/>
      <c r="C688" s="31"/>
      <c r="D688" s="31"/>
      <c r="F688" s="40"/>
    </row>
    <row r="689" spans="1:6" ht="13" x14ac:dyDescent="0.15">
      <c r="A689" s="7"/>
      <c r="B689" s="31"/>
      <c r="C689" s="31"/>
      <c r="D689" s="31"/>
      <c r="F689" s="40"/>
    </row>
    <row r="690" spans="1:6" ht="13" x14ac:dyDescent="0.15">
      <c r="A690" s="7"/>
      <c r="B690" s="31"/>
      <c r="C690" s="31"/>
      <c r="D690" s="31"/>
      <c r="F690" s="40"/>
    </row>
    <row r="691" spans="1:6" ht="13" x14ac:dyDescent="0.15">
      <c r="A691" s="7"/>
      <c r="B691" s="31"/>
      <c r="C691" s="31"/>
      <c r="D691" s="31"/>
      <c r="F691" s="40"/>
    </row>
    <row r="692" spans="1:6" ht="13" x14ac:dyDescent="0.15">
      <c r="A692" s="7"/>
      <c r="B692" s="31"/>
      <c r="C692" s="31"/>
      <c r="D692" s="31"/>
      <c r="F692" s="40"/>
    </row>
    <row r="693" spans="1:6" ht="13" x14ac:dyDescent="0.15">
      <c r="A693" s="7"/>
      <c r="B693" s="31"/>
      <c r="C693" s="31"/>
      <c r="D693" s="31"/>
      <c r="F693" s="40"/>
    </row>
    <row r="694" spans="1:6" ht="13" x14ac:dyDescent="0.15">
      <c r="A694" s="7"/>
      <c r="B694" s="31"/>
      <c r="C694" s="31"/>
      <c r="D694" s="31"/>
      <c r="F694" s="40"/>
    </row>
    <row r="695" spans="1:6" ht="13" x14ac:dyDescent="0.15">
      <c r="A695" s="7"/>
      <c r="B695" s="31"/>
      <c r="C695" s="31"/>
      <c r="D695" s="31"/>
      <c r="F695" s="40"/>
    </row>
    <row r="696" spans="1:6" ht="13" x14ac:dyDescent="0.15">
      <c r="A696" s="7"/>
      <c r="B696" s="31"/>
      <c r="C696" s="31"/>
      <c r="D696" s="31"/>
      <c r="F696" s="40"/>
    </row>
    <row r="697" spans="1:6" ht="13" x14ac:dyDescent="0.15">
      <c r="A697" s="7"/>
      <c r="B697" s="31"/>
      <c r="C697" s="31"/>
      <c r="D697" s="31"/>
      <c r="F697" s="40"/>
    </row>
    <row r="698" spans="1:6" ht="13" x14ac:dyDescent="0.15">
      <c r="A698" s="7"/>
      <c r="B698" s="31"/>
      <c r="C698" s="31"/>
      <c r="D698" s="31"/>
      <c r="F698" s="40"/>
    </row>
    <row r="699" spans="1:6" ht="13" x14ac:dyDescent="0.15">
      <c r="A699" s="7"/>
      <c r="B699" s="31"/>
      <c r="C699" s="31"/>
      <c r="D699" s="31"/>
      <c r="F699" s="40"/>
    </row>
    <row r="700" spans="1:6" ht="13" x14ac:dyDescent="0.15">
      <c r="A700" s="7"/>
      <c r="B700" s="31"/>
      <c r="C700" s="31"/>
      <c r="D700" s="31"/>
      <c r="F700" s="40"/>
    </row>
    <row r="701" spans="1:6" ht="13" x14ac:dyDescent="0.15">
      <c r="A701" s="7"/>
      <c r="B701" s="31"/>
      <c r="C701" s="31"/>
      <c r="D701" s="31"/>
      <c r="F701" s="40"/>
    </row>
    <row r="702" spans="1:6" ht="13" x14ac:dyDescent="0.15">
      <c r="A702" s="7"/>
      <c r="B702" s="31"/>
      <c r="C702" s="31"/>
      <c r="D702" s="31"/>
      <c r="F702" s="40"/>
    </row>
    <row r="703" spans="1:6" ht="13" x14ac:dyDescent="0.15">
      <c r="A703" s="7"/>
      <c r="B703" s="31"/>
      <c r="C703" s="31"/>
      <c r="D703" s="31"/>
      <c r="F703" s="40"/>
    </row>
    <row r="704" spans="1:6" ht="13" x14ac:dyDescent="0.15">
      <c r="A704" s="7"/>
      <c r="B704" s="31"/>
      <c r="C704" s="31"/>
      <c r="D704" s="31"/>
      <c r="F704" s="40"/>
    </row>
    <row r="705" spans="1:6" ht="13" x14ac:dyDescent="0.15">
      <c r="A705" s="7"/>
      <c r="B705" s="31"/>
      <c r="C705" s="31"/>
      <c r="D705" s="31"/>
      <c r="F705" s="40"/>
    </row>
    <row r="706" spans="1:6" ht="13" x14ac:dyDescent="0.15">
      <c r="A706" s="7"/>
      <c r="B706" s="31"/>
      <c r="C706" s="31"/>
      <c r="D706" s="31"/>
      <c r="F706" s="40"/>
    </row>
    <row r="707" spans="1:6" ht="13" x14ac:dyDescent="0.15">
      <c r="A707" s="7"/>
      <c r="B707" s="31"/>
      <c r="C707" s="31"/>
      <c r="D707" s="31"/>
      <c r="F707" s="40"/>
    </row>
    <row r="708" spans="1:6" ht="13" x14ac:dyDescent="0.15">
      <c r="A708" s="7"/>
      <c r="B708" s="31"/>
      <c r="C708" s="31"/>
      <c r="D708" s="31"/>
      <c r="F708" s="40"/>
    </row>
    <row r="709" spans="1:6" ht="13" x14ac:dyDescent="0.15">
      <c r="A709" s="7"/>
      <c r="B709" s="31"/>
      <c r="C709" s="31"/>
      <c r="D709" s="31"/>
      <c r="F709" s="40"/>
    </row>
    <row r="710" spans="1:6" ht="13" x14ac:dyDescent="0.15">
      <c r="A710" s="7"/>
      <c r="B710" s="31"/>
      <c r="C710" s="31"/>
      <c r="D710" s="31"/>
      <c r="F710" s="40"/>
    </row>
    <row r="711" spans="1:6" ht="13" x14ac:dyDescent="0.15">
      <c r="A711" s="7"/>
      <c r="B711" s="31"/>
      <c r="C711" s="31"/>
      <c r="D711" s="31"/>
      <c r="F711" s="40"/>
    </row>
    <row r="712" spans="1:6" ht="13" x14ac:dyDescent="0.15">
      <c r="A712" s="7"/>
      <c r="B712" s="31"/>
      <c r="C712" s="31"/>
      <c r="D712" s="31"/>
      <c r="F712" s="40"/>
    </row>
    <row r="713" spans="1:6" ht="13" x14ac:dyDescent="0.15">
      <c r="A713" s="7"/>
      <c r="B713" s="31"/>
      <c r="C713" s="31"/>
      <c r="D713" s="31"/>
      <c r="F713" s="40"/>
    </row>
    <row r="714" spans="1:6" ht="13" x14ac:dyDescent="0.15">
      <c r="A714" s="7"/>
      <c r="B714" s="31"/>
      <c r="C714" s="31"/>
      <c r="D714" s="31"/>
      <c r="F714" s="40"/>
    </row>
    <row r="715" spans="1:6" ht="13" x14ac:dyDescent="0.15">
      <c r="A715" s="7"/>
      <c r="B715" s="31"/>
      <c r="C715" s="31"/>
      <c r="D715" s="31"/>
      <c r="F715" s="40"/>
    </row>
    <row r="716" spans="1:6" ht="13" x14ac:dyDescent="0.15">
      <c r="A716" s="7"/>
      <c r="B716" s="31"/>
      <c r="C716" s="31"/>
      <c r="D716" s="31"/>
      <c r="F716" s="40"/>
    </row>
    <row r="717" spans="1:6" ht="13" x14ac:dyDescent="0.15">
      <c r="A717" s="7"/>
      <c r="B717" s="31"/>
      <c r="C717" s="31"/>
      <c r="D717" s="31"/>
      <c r="F717" s="40"/>
    </row>
    <row r="718" spans="1:6" ht="13" x14ac:dyDescent="0.15">
      <c r="A718" s="7"/>
      <c r="B718" s="31"/>
      <c r="C718" s="31"/>
      <c r="D718" s="31"/>
      <c r="F718" s="40"/>
    </row>
    <row r="719" spans="1:6" ht="13" x14ac:dyDescent="0.15">
      <c r="A719" s="7"/>
      <c r="B719" s="31"/>
      <c r="C719" s="31"/>
      <c r="D719" s="31"/>
      <c r="F719" s="40"/>
    </row>
    <row r="720" spans="1:6" ht="13" x14ac:dyDescent="0.15">
      <c r="A720" s="7"/>
      <c r="B720" s="31"/>
      <c r="C720" s="31"/>
      <c r="D720" s="31"/>
      <c r="F720" s="40"/>
    </row>
    <row r="721" spans="1:6" ht="13" x14ac:dyDescent="0.15">
      <c r="A721" s="7"/>
      <c r="B721" s="31"/>
      <c r="C721" s="31"/>
      <c r="D721" s="31"/>
      <c r="F721" s="40"/>
    </row>
    <row r="722" spans="1:6" ht="13" x14ac:dyDescent="0.15">
      <c r="A722" s="7"/>
      <c r="B722" s="31"/>
      <c r="C722" s="31"/>
      <c r="D722" s="31"/>
      <c r="F722" s="40"/>
    </row>
    <row r="723" spans="1:6" ht="13" x14ac:dyDescent="0.15">
      <c r="A723" s="7"/>
      <c r="B723" s="31"/>
      <c r="C723" s="31"/>
      <c r="D723" s="31"/>
      <c r="F723" s="40"/>
    </row>
    <row r="724" spans="1:6" ht="13" x14ac:dyDescent="0.15">
      <c r="A724" s="7"/>
      <c r="B724" s="31"/>
      <c r="C724" s="31"/>
      <c r="D724" s="31"/>
      <c r="F724" s="40"/>
    </row>
    <row r="725" spans="1:6" ht="13" x14ac:dyDescent="0.15">
      <c r="A725" s="7"/>
      <c r="B725" s="31"/>
      <c r="C725" s="31"/>
      <c r="D725" s="31"/>
      <c r="F725" s="40"/>
    </row>
    <row r="726" spans="1:6" ht="13" x14ac:dyDescent="0.15">
      <c r="A726" s="7"/>
      <c r="B726" s="31"/>
      <c r="C726" s="31"/>
      <c r="D726" s="31"/>
      <c r="F726" s="40"/>
    </row>
    <row r="727" spans="1:6" ht="13" x14ac:dyDescent="0.15">
      <c r="A727" s="7"/>
      <c r="B727" s="31"/>
      <c r="C727" s="31"/>
      <c r="D727" s="31"/>
      <c r="F727" s="40"/>
    </row>
    <row r="728" spans="1:6" ht="13" x14ac:dyDescent="0.15">
      <c r="A728" s="7"/>
      <c r="B728" s="31"/>
      <c r="C728" s="31"/>
      <c r="D728" s="31"/>
      <c r="F728" s="40"/>
    </row>
    <row r="729" spans="1:6" ht="13" x14ac:dyDescent="0.15">
      <c r="A729" s="7"/>
      <c r="B729" s="31"/>
      <c r="C729" s="31"/>
      <c r="D729" s="31"/>
      <c r="F729" s="40"/>
    </row>
    <row r="730" spans="1:6" ht="13" x14ac:dyDescent="0.15">
      <c r="A730" s="7"/>
      <c r="B730" s="31"/>
      <c r="C730" s="31"/>
      <c r="D730" s="31"/>
      <c r="F730" s="40"/>
    </row>
    <row r="731" spans="1:6" ht="13" x14ac:dyDescent="0.15">
      <c r="A731" s="7"/>
      <c r="B731" s="31"/>
      <c r="C731" s="31"/>
      <c r="D731" s="31"/>
      <c r="F731" s="40"/>
    </row>
    <row r="732" spans="1:6" ht="13" x14ac:dyDescent="0.15">
      <c r="A732" s="7"/>
      <c r="B732" s="31"/>
      <c r="C732" s="31"/>
      <c r="D732" s="31"/>
      <c r="F732" s="40"/>
    </row>
    <row r="733" spans="1:6" ht="13" x14ac:dyDescent="0.15">
      <c r="A733" s="7"/>
      <c r="B733" s="31"/>
      <c r="C733" s="31"/>
      <c r="D733" s="31"/>
      <c r="F733" s="40"/>
    </row>
    <row r="734" spans="1:6" ht="13" x14ac:dyDescent="0.15">
      <c r="A734" s="7"/>
      <c r="B734" s="31"/>
      <c r="C734" s="31"/>
      <c r="D734" s="31"/>
      <c r="F734" s="40"/>
    </row>
    <row r="735" spans="1:6" ht="13" x14ac:dyDescent="0.15">
      <c r="A735" s="7"/>
      <c r="B735" s="31"/>
      <c r="C735" s="31"/>
      <c r="D735" s="31"/>
      <c r="F735" s="40"/>
    </row>
    <row r="736" spans="1:6" ht="13" x14ac:dyDescent="0.15">
      <c r="A736" s="7"/>
      <c r="B736" s="31"/>
      <c r="C736" s="31"/>
      <c r="D736" s="31"/>
      <c r="F736" s="40"/>
    </row>
    <row r="737" spans="1:6" ht="13" x14ac:dyDescent="0.15">
      <c r="A737" s="7"/>
      <c r="B737" s="31"/>
      <c r="C737" s="31"/>
      <c r="D737" s="31"/>
      <c r="F737" s="40"/>
    </row>
    <row r="738" spans="1:6" ht="13" x14ac:dyDescent="0.15">
      <c r="A738" s="7"/>
      <c r="B738" s="31"/>
      <c r="C738" s="31"/>
      <c r="D738" s="31"/>
      <c r="F738" s="40"/>
    </row>
    <row r="739" spans="1:6" ht="13" x14ac:dyDescent="0.15">
      <c r="A739" s="7"/>
      <c r="B739" s="31"/>
      <c r="C739" s="31"/>
      <c r="D739" s="31"/>
      <c r="F739" s="40"/>
    </row>
    <row r="740" spans="1:6" ht="13" x14ac:dyDescent="0.15">
      <c r="A740" s="7"/>
      <c r="B740" s="31"/>
      <c r="C740" s="31"/>
      <c r="D740" s="31"/>
      <c r="F740" s="40"/>
    </row>
    <row r="741" spans="1:6" ht="13" x14ac:dyDescent="0.15">
      <c r="A741" s="7"/>
      <c r="B741" s="31"/>
      <c r="C741" s="31"/>
      <c r="D741" s="31"/>
      <c r="F741" s="40"/>
    </row>
    <row r="742" spans="1:6" ht="13" x14ac:dyDescent="0.15">
      <c r="A742" s="7"/>
      <c r="B742" s="31"/>
      <c r="C742" s="31"/>
      <c r="D742" s="31"/>
      <c r="F742" s="40"/>
    </row>
    <row r="743" spans="1:6" ht="13" x14ac:dyDescent="0.15">
      <c r="A743" s="7"/>
      <c r="B743" s="31"/>
      <c r="C743" s="31"/>
      <c r="D743" s="31"/>
      <c r="F743" s="40"/>
    </row>
    <row r="744" spans="1:6" ht="13" x14ac:dyDescent="0.15">
      <c r="A744" s="7"/>
      <c r="B744" s="31"/>
      <c r="C744" s="31"/>
      <c r="D744" s="31"/>
      <c r="F744" s="40"/>
    </row>
    <row r="745" spans="1:6" ht="13" x14ac:dyDescent="0.15">
      <c r="A745" s="7"/>
      <c r="B745" s="31"/>
      <c r="C745" s="31"/>
      <c r="D745" s="31"/>
      <c r="F745" s="40"/>
    </row>
    <row r="746" spans="1:6" ht="13" x14ac:dyDescent="0.15">
      <c r="A746" s="7"/>
      <c r="B746" s="31"/>
      <c r="C746" s="31"/>
      <c r="D746" s="31"/>
      <c r="F746" s="40"/>
    </row>
    <row r="747" spans="1:6" ht="13" x14ac:dyDescent="0.15">
      <c r="A747" s="7"/>
      <c r="B747" s="31"/>
      <c r="C747" s="31"/>
      <c r="D747" s="31"/>
      <c r="F747" s="40"/>
    </row>
    <row r="748" spans="1:6" ht="13" x14ac:dyDescent="0.15">
      <c r="A748" s="7"/>
      <c r="B748" s="31"/>
      <c r="C748" s="31"/>
      <c r="D748" s="31"/>
      <c r="F748" s="40"/>
    </row>
    <row r="749" spans="1:6" ht="13" x14ac:dyDescent="0.15">
      <c r="A749" s="7"/>
      <c r="B749" s="31"/>
      <c r="C749" s="31"/>
      <c r="D749" s="31"/>
      <c r="F749" s="40"/>
    </row>
    <row r="750" spans="1:6" ht="13" x14ac:dyDescent="0.15">
      <c r="A750" s="7"/>
      <c r="B750" s="31"/>
      <c r="C750" s="31"/>
      <c r="D750" s="31"/>
      <c r="F750" s="40"/>
    </row>
    <row r="751" spans="1:6" ht="13" x14ac:dyDescent="0.15">
      <c r="A751" s="7"/>
      <c r="B751" s="31"/>
      <c r="C751" s="31"/>
      <c r="D751" s="31"/>
      <c r="F751" s="40"/>
    </row>
    <row r="752" spans="1:6" ht="13" x14ac:dyDescent="0.15">
      <c r="A752" s="7"/>
      <c r="B752" s="31"/>
      <c r="C752" s="31"/>
      <c r="D752" s="31"/>
      <c r="F752" s="40"/>
    </row>
    <row r="753" spans="1:6" ht="13" x14ac:dyDescent="0.15">
      <c r="A753" s="7"/>
      <c r="B753" s="31"/>
      <c r="C753" s="31"/>
      <c r="D753" s="31"/>
      <c r="F753" s="40"/>
    </row>
    <row r="754" spans="1:6" ht="13" x14ac:dyDescent="0.15">
      <c r="A754" s="7"/>
      <c r="B754" s="31"/>
      <c r="C754" s="31"/>
      <c r="D754" s="31"/>
      <c r="F754" s="40"/>
    </row>
    <row r="755" spans="1:6" ht="13" x14ac:dyDescent="0.15">
      <c r="A755" s="7"/>
      <c r="B755" s="31"/>
      <c r="C755" s="31"/>
      <c r="D755" s="31"/>
      <c r="F755" s="40"/>
    </row>
    <row r="756" spans="1:6" ht="13" x14ac:dyDescent="0.15">
      <c r="A756" s="7"/>
      <c r="B756" s="31"/>
      <c r="C756" s="31"/>
      <c r="D756" s="31"/>
      <c r="F756" s="40"/>
    </row>
    <row r="757" spans="1:6" ht="13" x14ac:dyDescent="0.15">
      <c r="A757" s="7"/>
      <c r="B757" s="31"/>
      <c r="C757" s="31"/>
      <c r="D757" s="31"/>
      <c r="F757" s="40"/>
    </row>
    <row r="758" spans="1:6" ht="13" x14ac:dyDescent="0.15">
      <c r="A758" s="7"/>
      <c r="B758" s="31"/>
      <c r="C758" s="31"/>
      <c r="D758" s="31"/>
      <c r="F758" s="40"/>
    </row>
    <row r="759" spans="1:6" ht="13" x14ac:dyDescent="0.15">
      <c r="A759" s="7"/>
      <c r="B759" s="31"/>
      <c r="C759" s="31"/>
      <c r="D759" s="31"/>
      <c r="F759" s="40"/>
    </row>
    <row r="760" spans="1:6" ht="13" x14ac:dyDescent="0.15">
      <c r="A760" s="7"/>
      <c r="B760" s="31"/>
      <c r="C760" s="31"/>
      <c r="D760" s="31"/>
      <c r="F760" s="40"/>
    </row>
    <row r="761" spans="1:6" ht="13" x14ac:dyDescent="0.15">
      <c r="A761" s="7"/>
      <c r="B761" s="31"/>
      <c r="C761" s="31"/>
      <c r="D761" s="31"/>
      <c r="F761" s="40"/>
    </row>
    <row r="762" spans="1:6" ht="13" x14ac:dyDescent="0.15">
      <c r="A762" s="7"/>
      <c r="B762" s="31"/>
      <c r="C762" s="31"/>
      <c r="D762" s="31"/>
      <c r="F762" s="40"/>
    </row>
    <row r="763" spans="1:6" ht="13" x14ac:dyDescent="0.15">
      <c r="A763" s="7"/>
      <c r="B763" s="31"/>
      <c r="C763" s="31"/>
      <c r="D763" s="31"/>
      <c r="F763" s="40"/>
    </row>
    <row r="764" spans="1:6" ht="13" x14ac:dyDescent="0.15">
      <c r="A764" s="7"/>
      <c r="B764" s="31"/>
      <c r="C764" s="31"/>
      <c r="D764" s="31"/>
      <c r="F764" s="40"/>
    </row>
    <row r="765" spans="1:6" ht="13" x14ac:dyDescent="0.15">
      <c r="A765" s="7"/>
      <c r="B765" s="31"/>
      <c r="C765" s="31"/>
      <c r="D765" s="31"/>
      <c r="F765" s="40"/>
    </row>
    <row r="766" spans="1:6" ht="13" x14ac:dyDescent="0.15">
      <c r="A766" s="7"/>
      <c r="B766" s="31"/>
      <c r="C766" s="31"/>
      <c r="D766" s="31"/>
      <c r="F766" s="40"/>
    </row>
    <row r="767" spans="1:6" ht="13" x14ac:dyDescent="0.15">
      <c r="A767" s="7"/>
      <c r="B767" s="31"/>
      <c r="C767" s="31"/>
      <c r="D767" s="31"/>
      <c r="F767" s="40"/>
    </row>
    <row r="768" spans="1:6" ht="13" x14ac:dyDescent="0.15">
      <c r="A768" s="7"/>
      <c r="B768" s="31"/>
      <c r="C768" s="31"/>
      <c r="D768" s="31"/>
      <c r="F768" s="40"/>
    </row>
    <row r="769" spans="1:6" ht="13" x14ac:dyDescent="0.15">
      <c r="A769" s="7"/>
      <c r="B769" s="31"/>
      <c r="C769" s="31"/>
      <c r="D769" s="31"/>
      <c r="F769" s="40"/>
    </row>
    <row r="770" spans="1:6" ht="13" x14ac:dyDescent="0.15">
      <c r="A770" s="7"/>
      <c r="B770" s="31"/>
      <c r="C770" s="31"/>
      <c r="D770" s="31"/>
      <c r="F770" s="40"/>
    </row>
    <row r="771" spans="1:6" ht="13" x14ac:dyDescent="0.15">
      <c r="A771" s="7"/>
      <c r="B771" s="31"/>
      <c r="C771" s="31"/>
      <c r="D771" s="31"/>
      <c r="F771" s="40"/>
    </row>
    <row r="772" spans="1:6" ht="13" x14ac:dyDescent="0.15">
      <c r="A772" s="7"/>
      <c r="B772" s="31"/>
      <c r="C772" s="31"/>
      <c r="D772" s="31"/>
      <c r="F772" s="40"/>
    </row>
    <row r="773" spans="1:6" ht="13" x14ac:dyDescent="0.15">
      <c r="A773" s="7"/>
      <c r="B773" s="31"/>
      <c r="C773" s="31"/>
      <c r="D773" s="31"/>
      <c r="F773" s="40"/>
    </row>
    <row r="774" spans="1:6" ht="13" x14ac:dyDescent="0.15">
      <c r="A774" s="7"/>
      <c r="B774" s="31"/>
      <c r="C774" s="31"/>
      <c r="D774" s="31"/>
      <c r="F774" s="40"/>
    </row>
    <row r="775" spans="1:6" ht="13" x14ac:dyDescent="0.15">
      <c r="A775" s="7"/>
      <c r="B775" s="31"/>
      <c r="C775" s="31"/>
      <c r="D775" s="31"/>
      <c r="F775" s="40"/>
    </row>
    <row r="776" spans="1:6" ht="13" x14ac:dyDescent="0.15">
      <c r="A776" s="7"/>
      <c r="B776" s="31"/>
      <c r="C776" s="31"/>
      <c r="D776" s="31"/>
      <c r="F776" s="40"/>
    </row>
    <row r="777" spans="1:6" ht="13" x14ac:dyDescent="0.15">
      <c r="A777" s="7"/>
      <c r="B777" s="31"/>
      <c r="C777" s="31"/>
      <c r="D777" s="31"/>
      <c r="F777" s="40"/>
    </row>
    <row r="778" spans="1:6" ht="13" x14ac:dyDescent="0.15">
      <c r="A778" s="7"/>
      <c r="B778" s="31"/>
      <c r="C778" s="31"/>
      <c r="D778" s="31"/>
      <c r="F778" s="40"/>
    </row>
    <row r="779" spans="1:6" ht="13" x14ac:dyDescent="0.15">
      <c r="A779" s="7"/>
      <c r="B779" s="31"/>
      <c r="C779" s="31"/>
      <c r="D779" s="31"/>
      <c r="F779" s="40"/>
    </row>
    <row r="780" spans="1:6" ht="13" x14ac:dyDescent="0.15">
      <c r="A780" s="7"/>
      <c r="B780" s="31"/>
      <c r="C780" s="31"/>
      <c r="D780" s="31"/>
      <c r="F780" s="40"/>
    </row>
    <row r="781" spans="1:6" ht="13" x14ac:dyDescent="0.15">
      <c r="A781" s="7"/>
      <c r="B781" s="31"/>
      <c r="C781" s="31"/>
      <c r="D781" s="31"/>
      <c r="F781" s="40"/>
    </row>
    <row r="782" spans="1:6" ht="13" x14ac:dyDescent="0.15">
      <c r="A782" s="7"/>
      <c r="B782" s="31"/>
      <c r="C782" s="31"/>
      <c r="D782" s="31"/>
      <c r="F782" s="40"/>
    </row>
    <row r="783" spans="1:6" ht="13" x14ac:dyDescent="0.15">
      <c r="A783" s="7"/>
      <c r="B783" s="31"/>
      <c r="C783" s="31"/>
      <c r="D783" s="31"/>
      <c r="F783" s="40"/>
    </row>
    <row r="784" spans="1:6" ht="13" x14ac:dyDescent="0.15">
      <c r="A784" s="7"/>
      <c r="B784" s="31"/>
      <c r="C784" s="31"/>
      <c r="D784" s="31"/>
      <c r="F784" s="40"/>
    </row>
    <row r="785" spans="1:6" ht="13" x14ac:dyDescent="0.15">
      <c r="A785" s="7"/>
      <c r="B785" s="31"/>
      <c r="C785" s="31"/>
      <c r="D785" s="31"/>
      <c r="F785" s="40"/>
    </row>
    <row r="786" spans="1:6" ht="13" x14ac:dyDescent="0.15">
      <c r="A786" s="7"/>
      <c r="B786" s="31"/>
      <c r="C786" s="31"/>
      <c r="D786" s="31"/>
      <c r="F786" s="40"/>
    </row>
    <row r="787" spans="1:6" ht="13" x14ac:dyDescent="0.15">
      <c r="A787" s="7"/>
      <c r="B787" s="31"/>
      <c r="C787" s="31"/>
      <c r="D787" s="31"/>
      <c r="F787" s="40"/>
    </row>
    <row r="788" spans="1:6" ht="13" x14ac:dyDescent="0.15">
      <c r="A788" s="7"/>
      <c r="B788" s="31"/>
      <c r="C788" s="31"/>
      <c r="D788" s="31"/>
      <c r="F788" s="40"/>
    </row>
    <row r="789" spans="1:6" ht="13" x14ac:dyDescent="0.15">
      <c r="A789" s="7"/>
      <c r="B789" s="31"/>
      <c r="C789" s="31"/>
      <c r="D789" s="31"/>
      <c r="F789" s="40"/>
    </row>
    <row r="790" spans="1:6" ht="13" x14ac:dyDescent="0.15">
      <c r="A790" s="7"/>
      <c r="B790" s="31"/>
      <c r="C790" s="31"/>
      <c r="D790" s="31"/>
      <c r="F790" s="40"/>
    </row>
    <row r="791" spans="1:6" ht="13" x14ac:dyDescent="0.15">
      <c r="A791" s="7"/>
      <c r="B791" s="31"/>
      <c r="C791" s="31"/>
      <c r="D791" s="31"/>
      <c r="F791" s="40"/>
    </row>
    <row r="792" spans="1:6" ht="13" x14ac:dyDescent="0.15">
      <c r="A792" s="7"/>
      <c r="B792" s="31"/>
      <c r="C792" s="31"/>
      <c r="D792" s="31"/>
      <c r="F792" s="40"/>
    </row>
    <row r="793" spans="1:6" ht="13" x14ac:dyDescent="0.15">
      <c r="A793" s="7"/>
      <c r="B793" s="31"/>
      <c r="C793" s="31"/>
      <c r="D793" s="31"/>
      <c r="F793" s="40"/>
    </row>
    <row r="794" spans="1:6" ht="13" x14ac:dyDescent="0.15">
      <c r="A794" s="7"/>
      <c r="B794" s="31"/>
      <c r="C794" s="31"/>
      <c r="D794" s="31"/>
      <c r="F794" s="40"/>
    </row>
    <row r="795" spans="1:6" ht="13" x14ac:dyDescent="0.15">
      <c r="A795" s="7"/>
      <c r="B795" s="31"/>
      <c r="C795" s="31"/>
      <c r="D795" s="31"/>
      <c r="F795" s="40"/>
    </row>
    <row r="796" spans="1:6" ht="13" x14ac:dyDescent="0.15">
      <c r="A796" s="7"/>
      <c r="B796" s="31"/>
      <c r="C796" s="31"/>
      <c r="D796" s="31"/>
      <c r="F796" s="40"/>
    </row>
    <row r="797" spans="1:6" ht="13" x14ac:dyDescent="0.15">
      <c r="A797" s="7"/>
      <c r="B797" s="31"/>
      <c r="C797" s="31"/>
      <c r="D797" s="31"/>
      <c r="F797" s="40"/>
    </row>
    <row r="798" spans="1:6" ht="13" x14ac:dyDescent="0.15">
      <c r="A798" s="7"/>
      <c r="B798" s="31"/>
      <c r="C798" s="31"/>
      <c r="D798" s="31"/>
      <c r="F798" s="40"/>
    </row>
    <row r="799" spans="1:6" ht="13" x14ac:dyDescent="0.15">
      <c r="A799" s="7"/>
      <c r="B799" s="31"/>
      <c r="C799" s="31"/>
      <c r="D799" s="31"/>
      <c r="F799" s="40"/>
    </row>
    <row r="800" spans="1:6" ht="13" x14ac:dyDescent="0.15">
      <c r="A800" s="7"/>
      <c r="B800" s="31"/>
      <c r="C800" s="31"/>
      <c r="D800" s="31"/>
      <c r="F800" s="40"/>
    </row>
    <row r="801" spans="1:6" ht="13" x14ac:dyDescent="0.15">
      <c r="A801" s="7"/>
      <c r="B801" s="31"/>
      <c r="C801" s="31"/>
      <c r="D801" s="31"/>
      <c r="F801" s="40"/>
    </row>
    <row r="802" spans="1:6" ht="13" x14ac:dyDescent="0.15">
      <c r="A802" s="7"/>
      <c r="B802" s="31"/>
      <c r="C802" s="31"/>
      <c r="D802" s="31"/>
      <c r="F802" s="40"/>
    </row>
    <row r="803" spans="1:6" ht="13" x14ac:dyDescent="0.15">
      <c r="A803" s="7"/>
      <c r="B803" s="31"/>
      <c r="C803" s="31"/>
      <c r="D803" s="31"/>
      <c r="F803" s="40"/>
    </row>
    <row r="804" spans="1:6" ht="13" x14ac:dyDescent="0.15">
      <c r="A804" s="7"/>
      <c r="B804" s="31"/>
      <c r="C804" s="31"/>
      <c r="D804" s="31"/>
      <c r="F804" s="40"/>
    </row>
    <row r="805" spans="1:6" ht="13" x14ac:dyDescent="0.15">
      <c r="A805" s="7"/>
      <c r="B805" s="31"/>
      <c r="C805" s="31"/>
      <c r="D805" s="31"/>
      <c r="F805" s="40"/>
    </row>
    <row r="806" spans="1:6" ht="13" x14ac:dyDescent="0.15">
      <c r="A806" s="7"/>
      <c r="B806" s="31"/>
      <c r="C806" s="31"/>
      <c r="D806" s="31"/>
      <c r="F806" s="40"/>
    </row>
    <row r="807" spans="1:6" ht="13" x14ac:dyDescent="0.15">
      <c r="A807" s="7"/>
      <c r="B807" s="31"/>
      <c r="C807" s="31"/>
      <c r="D807" s="31"/>
      <c r="F807" s="40"/>
    </row>
    <row r="808" spans="1:6" ht="13" x14ac:dyDescent="0.15">
      <c r="A808" s="7"/>
      <c r="B808" s="31"/>
      <c r="C808" s="31"/>
      <c r="D808" s="31"/>
      <c r="F808" s="40"/>
    </row>
    <row r="809" spans="1:6" ht="13" x14ac:dyDescent="0.15">
      <c r="A809" s="7"/>
      <c r="B809" s="31"/>
      <c r="C809" s="31"/>
      <c r="D809" s="31"/>
      <c r="F809" s="40"/>
    </row>
    <row r="810" spans="1:6" ht="13" x14ac:dyDescent="0.15">
      <c r="A810" s="7"/>
      <c r="B810" s="31"/>
      <c r="C810" s="31"/>
      <c r="D810" s="31"/>
      <c r="F810" s="40"/>
    </row>
    <row r="811" spans="1:6" ht="13" x14ac:dyDescent="0.15">
      <c r="A811" s="7"/>
      <c r="B811" s="31"/>
      <c r="C811" s="31"/>
      <c r="D811" s="31"/>
      <c r="F811" s="40"/>
    </row>
    <row r="812" spans="1:6" ht="13" x14ac:dyDescent="0.15">
      <c r="A812" s="7"/>
      <c r="B812" s="31"/>
      <c r="C812" s="31"/>
      <c r="D812" s="31"/>
      <c r="F812" s="40"/>
    </row>
    <row r="813" spans="1:6" ht="13" x14ac:dyDescent="0.15">
      <c r="A813" s="7"/>
      <c r="B813" s="31"/>
      <c r="C813" s="31"/>
      <c r="D813" s="31"/>
      <c r="F813" s="40"/>
    </row>
    <row r="814" spans="1:6" ht="13" x14ac:dyDescent="0.15">
      <c r="A814" s="7"/>
      <c r="B814" s="31"/>
      <c r="C814" s="31"/>
      <c r="D814" s="31"/>
      <c r="F814" s="40"/>
    </row>
    <row r="815" spans="1:6" ht="13" x14ac:dyDescent="0.15">
      <c r="A815" s="7"/>
      <c r="B815" s="31"/>
      <c r="C815" s="31"/>
      <c r="D815" s="31"/>
      <c r="F815" s="40"/>
    </row>
    <row r="816" spans="1:6" ht="13" x14ac:dyDescent="0.15">
      <c r="A816" s="7"/>
      <c r="B816" s="31"/>
      <c r="C816" s="31"/>
      <c r="D816" s="31"/>
      <c r="F816" s="40"/>
    </row>
    <row r="817" spans="1:6" ht="13" x14ac:dyDescent="0.15">
      <c r="A817" s="7"/>
      <c r="B817" s="31"/>
      <c r="C817" s="31"/>
      <c r="D817" s="31"/>
      <c r="F817" s="40"/>
    </row>
    <row r="818" spans="1:6" ht="13" x14ac:dyDescent="0.15">
      <c r="A818" s="7"/>
      <c r="B818" s="31"/>
      <c r="C818" s="31"/>
      <c r="D818" s="31"/>
      <c r="F818" s="40"/>
    </row>
    <row r="819" spans="1:6" ht="13" x14ac:dyDescent="0.15">
      <c r="A819" s="7"/>
      <c r="B819" s="31"/>
      <c r="C819" s="31"/>
      <c r="D819" s="31"/>
      <c r="F819" s="40"/>
    </row>
    <row r="820" spans="1:6" ht="13" x14ac:dyDescent="0.15">
      <c r="A820" s="7"/>
      <c r="B820" s="31"/>
      <c r="C820" s="31"/>
      <c r="D820" s="31"/>
      <c r="F820" s="40"/>
    </row>
    <row r="821" spans="1:6" ht="13" x14ac:dyDescent="0.15">
      <c r="A821" s="7"/>
      <c r="B821" s="31"/>
      <c r="C821" s="31"/>
      <c r="D821" s="31"/>
      <c r="F821" s="40"/>
    </row>
    <row r="822" spans="1:6" ht="13" x14ac:dyDescent="0.15">
      <c r="A822" s="7"/>
      <c r="B822" s="31"/>
      <c r="C822" s="31"/>
      <c r="D822" s="31"/>
      <c r="F822" s="40"/>
    </row>
    <row r="823" spans="1:6" ht="13" x14ac:dyDescent="0.15">
      <c r="A823" s="7"/>
      <c r="B823" s="31"/>
      <c r="C823" s="31"/>
      <c r="D823" s="31"/>
      <c r="F823" s="40"/>
    </row>
    <row r="824" spans="1:6" ht="13" x14ac:dyDescent="0.15">
      <c r="A824" s="7"/>
      <c r="B824" s="31"/>
      <c r="C824" s="31"/>
      <c r="D824" s="31"/>
      <c r="F824" s="40"/>
    </row>
    <row r="825" spans="1:6" ht="13" x14ac:dyDescent="0.15">
      <c r="A825" s="7"/>
      <c r="B825" s="31"/>
      <c r="C825" s="31"/>
      <c r="D825" s="31"/>
      <c r="F825" s="40"/>
    </row>
    <row r="826" spans="1:6" ht="13" x14ac:dyDescent="0.15">
      <c r="A826" s="7"/>
      <c r="B826" s="31"/>
      <c r="C826" s="31"/>
      <c r="D826" s="31"/>
      <c r="F826" s="40"/>
    </row>
    <row r="827" spans="1:6" ht="13" x14ac:dyDescent="0.15">
      <c r="A827" s="7"/>
      <c r="B827" s="31"/>
      <c r="C827" s="31"/>
      <c r="D827" s="31"/>
      <c r="F827" s="40"/>
    </row>
    <row r="828" spans="1:6" ht="13" x14ac:dyDescent="0.15">
      <c r="A828" s="7"/>
      <c r="B828" s="31"/>
      <c r="C828" s="31"/>
      <c r="D828" s="31"/>
      <c r="F828" s="40"/>
    </row>
    <row r="829" spans="1:6" ht="13" x14ac:dyDescent="0.15">
      <c r="A829" s="7"/>
      <c r="B829" s="31"/>
      <c r="C829" s="31"/>
      <c r="D829" s="31"/>
      <c r="F829" s="40"/>
    </row>
    <row r="830" spans="1:6" ht="13" x14ac:dyDescent="0.15">
      <c r="A830" s="7"/>
      <c r="B830" s="31"/>
      <c r="C830" s="31"/>
      <c r="D830" s="31"/>
      <c r="F830" s="40"/>
    </row>
    <row r="831" spans="1:6" ht="13" x14ac:dyDescent="0.15">
      <c r="A831" s="7"/>
      <c r="B831" s="31"/>
      <c r="C831" s="31"/>
      <c r="D831" s="31"/>
      <c r="F831" s="40"/>
    </row>
    <row r="832" spans="1:6" ht="13" x14ac:dyDescent="0.15">
      <c r="A832" s="7"/>
      <c r="B832" s="31"/>
      <c r="C832" s="31"/>
      <c r="D832" s="31"/>
      <c r="F832" s="40"/>
    </row>
    <row r="833" spans="1:6" ht="13" x14ac:dyDescent="0.15">
      <c r="A833" s="7"/>
      <c r="B833" s="31"/>
      <c r="C833" s="31"/>
      <c r="D833" s="31"/>
      <c r="F833" s="40"/>
    </row>
    <row r="834" spans="1:6" ht="13" x14ac:dyDescent="0.15">
      <c r="A834" s="7"/>
      <c r="B834" s="31"/>
      <c r="C834" s="31"/>
      <c r="D834" s="31"/>
      <c r="F834" s="40"/>
    </row>
    <row r="835" spans="1:6" ht="13" x14ac:dyDescent="0.15">
      <c r="A835" s="7"/>
      <c r="B835" s="31"/>
      <c r="C835" s="31"/>
      <c r="D835" s="31"/>
      <c r="F835" s="40"/>
    </row>
    <row r="836" spans="1:6" ht="13" x14ac:dyDescent="0.15">
      <c r="A836" s="7"/>
      <c r="B836" s="31"/>
      <c r="C836" s="31"/>
      <c r="D836" s="31"/>
      <c r="F836" s="40"/>
    </row>
    <row r="837" spans="1:6" ht="13" x14ac:dyDescent="0.15">
      <c r="A837" s="7"/>
      <c r="B837" s="31"/>
      <c r="C837" s="31"/>
      <c r="D837" s="31"/>
      <c r="F837" s="40"/>
    </row>
    <row r="838" spans="1:6" ht="13" x14ac:dyDescent="0.15">
      <c r="A838" s="7"/>
      <c r="B838" s="31"/>
      <c r="C838" s="31"/>
      <c r="D838" s="31"/>
      <c r="F838" s="40"/>
    </row>
    <row r="839" spans="1:6" ht="13" x14ac:dyDescent="0.15">
      <c r="A839" s="7"/>
      <c r="B839" s="31"/>
      <c r="C839" s="31"/>
      <c r="D839" s="31"/>
      <c r="F839" s="40"/>
    </row>
    <row r="840" spans="1:6" ht="13" x14ac:dyDescent="0.15">
      <c r="A840" s="7"/>
      <c r="B840" s="31"/>
      <c r="C840" s="31"/>
      <c r="D840" s="31"/>
      <c r="F840" s="40"/>
    </row>
    <row r="841" spans="1:6" ht="13" x14ac:dyDescent="0.15">
      <c r="A841" s="7"/>
      <c r="B841" s="31"/>
      <c r="C841" s="31"/>
      <c r="D841" s="31"/>
      <c r="F841" s="40"/>
    </row>
    <row r="842" spans="1:6" ht="13" x14ac:dyDescent="0.15">
      <c r="A842" s="7"/>
      <c r="B842" s="31"/>
      <c r="C842" s="31"/>
      <c r="D842" s="31"/>
      <c r="F842" s="40"/>
    </row>
    <row r="843" spans="1:6" ht="13" x14ac:dyDescent="0.15">
      <c r="A843" s="7"/>
      <c r="B843" s="31"/>
      <c r="C843" s="31"/>
      <c r="D843" s="31"/>
      <c r="F843" s="40"/>
    </row>
    <row r="844" spans="1:6" ht="13" x14ac:dyDescent="0.15">
      <c r="A844" s="7"/>
      <c r="B844" s="31"/>
      <c r="C844" s="31"/>
      <c r="D844" s="31"/>
      <c r="F844" s="40"/>
    </row>
    <row r="845" spans="1:6" ht="13" x14ac:dyDescent="0.15">
      <c r="A845" s="7"/>
      <c r="B845" s="31"/>
      <c r="C845" s="31"/>
      <c r="D845" s="31"/>
      <c r="F845" s="40"/>
    </row>
    <row r="846" spans="1:6" ht="13" x14ac:dyDescent="0.15">
      <c r="A846" s="7"/>
      <c r="B846" s="31"/>
      <c r="C846" s="31"/>
      <c r="D846" s="31"/>
      <c r="F846" s="40"/>
    </row>
    <row r="847" spans="1:6" ht="13" x14ac:dyDescent="0.15">
      <c r="A847" s="7"/>
      <c r="B847" s="31"/>
      <c r="C847" s="31"/>
      <c r="D847" s="31"/>
      <c r="F847" s="40"/>
    </row>
    <row r="848" spans="1:6" ht="13" x14ac:dyDescent="0.15">
      <c r="A848" s="7"/>
      <c r="B848" s="31"/>
      <c r="C848" s="31"/>
      <c r="D848" s="31"/>
      <c r="F848" s="40"/>
    </row>
    <row r="849" spans="1:6" ht="13" x14ac:dyDescent="0.15">
      <c r="A849" s="7"/>
      <c r="B849" s="31"/>
      <c r="C849" s="31"/>
      <c r="D849" s="31"/>
      <c r="F849" s="40"/>
    </row>
    <row r="850" spans="1:6" ht="13" x14ac:dyDescent="0.15">
      <c r="A850" s="7"/>
      <c r="B850" s="31"/>
      <c r="C850" s="31"/>
      <c r="D850" s="31"/>
      <c r="F850" s="40"/>
    </row>
    <row r="851" spans="1:6" ht="13" x14ac:dyDescent="0.15">
      <c r="A851" s="7"/>
      <c r="B851" s="31"/>
      <c r="C851" s="31"/>
      <c r="D851" s="31"/>
      <c r="F851" s="40"/>
    </row>
    <row r="852" spans="1:6" ht="13" x14ac:dyDescent="0.15">
      <c r="A852" s="7"/>
      <c r="B852" s="31"/>
      <c r="C852" s="31"/>
      <c r="D852" s="31"/>
      <c r="F852" s="40"/>
    </row>
    <row r="853" spans="1:6" ht="13" x14ac:dyDescent="0.15">
      <c r="A853" s="7"/>
      <c r="B853" s="31"/>
      <c r="C853" s="31"/>
      <c r="D853" s="31"/>
      <c r="F853" s="40"/>
    </row>
    <row r="854" spans="1:6" ht="13" x14ac:dyDescent="0.15">
      <c r="A854" s="7"/>
      <c r="B854" s="31"/>
      <c r="C854" s="31"/>
      <c r="D854" s="31"/>
      <c r="F854" s="40"/>
    </row>
    <row r="855" spans="1:6" ht="13" x14ac:dyDescent="0.15">
      <c r="A855" s="7"/>
      <c r="B855" s="31"/>
      <c r="C855" s="31"/>
      <c r="D855" s="31"/>
      <c r="F855" s="40"/>
    </row>
    <row r="856" spans="1:6" ht="13" x14ac:dyDescent="0.15">
      <c r="A856" s="7"/>
      <c r="B856" s="31"/>
      <c r="C856" s="31"/>
      <c r="D856" s="31"/>
      <c r="F856" s="40"/>
    </row>
    <row r="857" spans="1:6" ht="13" x14ac:dyDescent="0.15">
      <c r="A857" s="7"/>
      <c r="B857" s="31"/>
      <c r="C857" s="31"/>
      <c r="D857" s="31"/>
      <c r="F857" s="40"/>
    </row>
    <row r="858" spans="1:6" ht="13" x14ac:dyDescent="0.15">
      <c r="A858" s="7"/>
      <c r="B858" s="31"/>
      <c r="C858" s="31"/>
      <c r="D858" s="31"/>
      <c r="F858" s="40"/>
    </row>
    <row r="859" spans="1:6" ht="13" x14ac:dyDescent="0.15">
      <c r="A859" s="7"/>
      <c r="B859" s="31"/>
      <c r="C859" s="31"/>
      <c r="D859" s="31"/>
      <c r="F859" s="40"/>
    </row>
    <row r="860" spans="1:6" ht="13" x14ac:dyDescent="0.15">
      <c r="A860" s="7"/>
      <c r="B860" s="31"/>
      <c r="C860" s="31"/>
      <c r="D860" s="31"/>
      <c r="F860" s="40"/>
    </row>
    <row r="861" spans="1:6" ht="13" x14ac:dyDescent="0.15">
      <c r="A861" s="7"/>
      <c r="B861" s="31"/>
      <c r="C861" s="31"/>
      <c r="D861" s="31"/>
      <c r="F861" s="40"/>
    </row>
    <row r="862" spans="1:6" ht="13" x14ac:dyDescent="0.15">
      <c r="A862" s="7"/>
      <c r="B862" s="31"/>
      <c r="C862" s="31"/>
      <c r="D862" s="31"/>
      <c r="F862" s="40"/>
    </row>
    <row r="863" spans="1:6" ht="13" x14ac:dyDescent="0.15">
      <c r="A863" s="7"/>
      <c r="B863" s="31"/>
      <c r="C863" s="31"/>
      <c r="D863" s="31"/>
      <c r="F863" s="40"/>
    </row>
    <row r="864" spans="1:6" ht="13" x14ac:dyDescent="0.15">
      <c r="A864" s="7"/>
      <c r="B864" s="31"/>
      <c r="C864" s="31"/>
      <c r="D864" s="31"/>
      <c r="F864" s="40"/>
    </row>
    <row r="865" spans="1:6" ht="13" x14ac:dyDescent="0.15">
      <c r="A865" s="7"/>
      <c r="B865" s="31"/>
      <c r="C865" s="31"/>
      <c r="D865" s="31"/>
      <c r="F865" s="40"/>
    </row>
    <row r="866" spans="1:6" ht="13" x14ac:dyDescent="0.15">
      <c r="A866" s="7"/>
      <c r="B866" s="31"/>
      <c r="C866" s="31"/>
      <c r="D866" s="31"/>
      <c r="F866" s="40"/>
    </row>
    <row r="867" spans="1:6" ht="13" x14ac:dyDescent="0.15">
      <c r="A867" s="7"/>
      <c r="B867" s="31"/>
      <c r="C867" s="31"/>
      <c r="D867" s="31"/>
      <c r="F867" s="40"/>
    </row>
    <row r="868" spans="1:6" ht="13" x14ac:dyDescent="0.15">
      <c r="A868" s="7"/>
      <c r="B868" s="31"/>
      <c r="C868" s="31"/>
      <c r="D868" s="31"/>
      <c r="F868" s="40"/>
    </row>
    <row r="869" spans="1:6" ht="13" x14ac:dyDescent="0.15">
      <c r="A869" s="7"/>
      <c r="B869" s="31"/>
      <c r="C869" s="31"/>
      <c r="D869" s="31"/>
      <c r="F869" s="40"/>
    </row>
    <row r="870" spans="1:6" ht="13" x14ac:dyDescent="0.15">
      <c r="A870" s="7"/>
      <c r="B870" s="31"/>
      <c r="C870" s="31"/>
      <c r="D870" s="31"/>
      <c r="F870" s="40"/>
    </row>
    <row r="871" spans="1:6" ht="13" x14ac:dyDescent="0.15">
      <c r="A871" s="7"/>
      <c r="B871" s="31"/>
      <c r="C871" s="31"/>
      <c r="D871" s="31"/>
      <c r="F871" s="40"/>
    </row>
    <row r="872" spans="1:6" ht="13" x14ac:dyDescent="0.15">
      <c r="A872" s="7"/>
      <c r="B872" s="31"/>
      <c r="C872" s="31"/>
      <c r="D872" s="31"/>
      <c r="F872" s="40"/>
    </row>
    <row r="873" spans="1:6" ht="13" x14ac:dyDescent="0.15">
      <c r="A873" s="7"/>
      <c r="B873" s="31"/>
      <c r="C873" s="31"/>
      <c r="D873" s="31"/>
      <c r="F873" s="40"/>
    </row>
    <row r="874" spans="1:6" ht="13" x14ac:dyDescent="0.15">
      <c r="A874" s="7"/>
      <c r="B874" s="31"/>
      <c r="C874" s="31"/>
      <c r="D874" s="31"/>
      <c r="F874" s="40"/>
    </row>
    <row r="875" spans="1:6" ht="13" x14ac:dyDescent="0.15">
      <c r="A875" s="7"/>
      <c r="B875" s="31"/>
      <c r="C875" s="31"/>
      <c r="D875" s="31"/>
      <c r="F875" s="40"/>
    </row>
    <row r="876" spans="1:6" ht="13" x14ac:dyDescent="0.15">
      <c r="A876" s="7"/>
      <c r="B876" s="31"/>
      <c r="C876" s="31"/>
      <c r="D876" s="31"/>
      <c r="F876" s="40"/>
    </row>
    <row r="877" spans="1:6" ht="13" x14ac:dyDescent="0.15">
      <c r="A877" s="7"/>
      <c r="B877" s="31"/>
      <c r="C877" s="31"/>
      <c r="D877" s="31"/>
      <c r="F877" s="40"/>
    </row>
    <row r="878" spans="1:6" ht="13" x14ac:dyDescent="0.15">
      <c r="A878" s="7"/>
      <c r="B878" s="31"/>
      <c r="C878" s="31"/>
      <c r="D878" s="31"/>
      <c r="F878" s="40"/>
    </row>
    <row r="879" spans="1:6" ht="13" x14ac:dyDescent="0.15">
      <c r="A879" s="7"/>
      <c r="B879" s="31"/>
      <c r="C879" s="31"/>
      <c r="D879" s="31"/>
      <c r="F879" s="40"/>
    </row>
    <row r="880" spans="1:6" ht="13" x14ac:dyDescent="0.15">
      <c r="A880" s="7"/>
      <c r="B880" s="31"/>
      <c r="C880" s="31"/>
      <c r="D880" s="31"/>
      <c r="F880" s="40"/>
    </row>
    <row r="881" spans="1:6" ht="13" x14ac:dyDescent="0.15">
      <c r="A881" s="7"/>
      <c r="B881" s="31"/>
      <c r="C881" s="31"/>
      <c r="D881" s="31"/>
      <c r="F881" s="40"/>
    </row>
    <row r="882" spans="1:6" ht="13" x14ac:dyDescent="0.15">
      <c r="A882" s="7"/>
      <c r="B882" s="31"/>
      <c r="C882" s="31"/>
      <c r="D882" s="31"/>
      <c r="F882" s="40"/>
    </row>
    <row r="883" spans="1:6" ht="13" x14ac:dyDescent="0.15">
      <c r="A883" s="7"/>
      <c r="B883" s="31"/>
      <c r="C883" s="31"/>
      <c r="D883" s="31"/>
      <c r="F883" s="40"/>
    </row>
    <row r="884" spans="1:6" ht="13" x14ac:dyDescent="0.15">
      <c r="A884" s="7"/>
      <c r="B884" s="31"/>
      <c r="C884" s="31"/>
      <c r="D884" s="31"/>
      <c r="F884" s="40"/>
    </row>
    <row r="885" spans="1:6" ht="13" x14ac:dyDescent="0.15">
      <c r="A885" s="7"/>
      <c r="B885" s="31"/>
      <c r="C885" s="31"/>
      <c r="D885" s="31"/>
      <c r="F885" s="40"/>
    </row>
    <row r="886" spans="1:6" ht="13" x14ac:dyDescent="0.15">
      <c r="A886" s="7"/>
      <c r="B886" s="31"/>
      <c r="C886" s="31"/>
      <c r="D886" s="31"/>
      <c r="F886" s="40"/>
    </row>
    <row r="887" spans="1:6" ht="13" x14ac:dyDescent="0.15">
      <c r="A887" s="7"/>
      <c r="B887" s="31"/>
      <c r="C887" s="31"/>
      <c r="D887" s="31"/>
      <c r="F887" s="40"/>
    </row>
    <row r="888" spans="1:6" ht="13" x14ac:dyDescent="0.15">
      <c r="A888" s="7"/>
      <c r="B888" s="31"/>
      <c r="C888" s="31"/>
      <c r="D888" s="31"/>
      <c r="F888" s="40"/>
    </row>
    <row r="889" spans="1:6" ht="13" x14ac:dyDescent="0.15">
      <c r="A889" s="7"/>
      <c r="B889" s="31"/>
      <c r="C889" s="31"/>
      <c r="D889" s="31"/>
      <c r="F889" s="40"/>
    </row>
    <row r="890" spans="1:6" ht="13" x14ac:dyDescent="0.15">
      <c r="A890" s="7"/>
      <c r="B890" s="31"/>
      <c r="C890" s="31"/>
      <c r="D890" s="31"/>
      <c r="F890" s="40"/>
    </row>
    <row r="891" spans="1:6" ht="13" x14ac:dyDescent="0.15">
      <c r="A891" s="7"/>
      <c r="B891" s="31"/>
      <c r="C891" s="31"/>
      <c r="D891" s="31"/>
      <c r="F891" s="40"/>
    </row>
    <row r="892" spans="1:6" ht="13" x14ac:dyDescent="0.15">
      <c r="A892" s="7"/>
      <c r="B892" s="31"/>
      <c r="C892" s="31"/>
      <c r="D892" s="31"/>
      <c r="F892" s="40"/>
    </row>
    <row r="893" spans="1:6" ht="13" x14ac:dyDescent="0.15">
      <c r="A893" s="7"/>
      <c r="B893" s="31"/>
      <c r="C893" s="31"/>
      <c r="D893" s="31"/>
      <c r="F893" s="40"/>
    </row>
    <row r="894" spans="1:6" ht="13" x14ac:dyDescent="0.15">
      <c r="A894" s="7"/>
      <c r="B894" s="31"/>
      <c r="C894" s="31"/>
      <c r="D894" s="31"/>
      <c r="F894" s="40"/>
    </row>
    <row r="895" spans="1:6" ht="13" x14ac:dyDescent="0.15">
      <c r="A895" s="7"/>
      <c r="B895" s="31"/>
      <c r="C895" s="31"/>
      <c r="D895" s="31"/>
      <c r="F895" s="40"/>
    </row>
    <row r="896" spans="1:6" ht="13" x14ac:dyDescent="0.15">
      <c r="A896" s="7"/>
      <c r="B896" s="31"/>
      <c r="C896" s="31"/>
      <c r="D896" s="31"/>
      <c r="F896" s="40"/>
    </row>
    <row r="897" spans="1:6" ht="13" x14ac:dyDescent="0.15">
      <c r="A897" s="7"/>
      <c r="B897" s="31"/>
      <c r="C897" s="31"/>
      <c r="D897" s="31"/>
      <c r="F897" s="40"/>
    </row>
    <row r="898" spans="1:6" ht="13" x14ac:dyDescent="0.15">
      <c r="A898" s="7"/>
      <c r="B898" s="31"/>
      <c r="C898" s="31"/>
      <c r="D898" s="31"/>
      <c r="F898" s="40"/>
    </row>
    <row r="899" spans="1:6" ht="13" x14ac:dyDescent="0.15">
      <c r="A899" s="7"/>
      <c r="B899" s="31"/>
      <c r="C899" s="31"/>
      <c r="D899" s="31"/>
      <c r="F899" s="40"/>
    </row>
    <row r="900" spans="1:6" ht="13" x14ac:dyDescent="0.15">
      <c r="A900" s="7"/>
      <c r="B900" s="31"/>
      <c r="C900" s="31"/>
      <c r="D900" s="31"/>
      <c r="F900" s="40"/>
    </row>
    <row r="901" spans="1:6" ht="13" x14ac:dyDescent="0.15">
      <c r="A901" s="7"/>
      <c r="B901" s="31"/>
      <c r="C901" s="31"/>
      <c r="D901" s="31"/>
      <c r="F901" s="40"/>
    </row>
    <row r="902" spans="1:6" ht="13" x14ac:dyDescent="0.15">
      <c r="A902" s="7"/>
      <c r="B902" s="31"/>
      <c r="C902" s="31"/>
      <c r="D902" s="31"/>
      <c r="F902" s="40"/>
    </row>
    <row r="903" spans="1:6" ht="13" x14ac:dyDescent="0.15">
      <c r="A903" s="7"/>
      <c r="B903" s="31"/>
      <c r="C903" s="31"/>
      <c r="D903" s="31"/>
      <c r="F903" s="40"/>
    </row>
    <row r="904" spans="1:6" ht="13" x14ac:dyDescent="0.15">
      <c r="A904" s="7"/>
      <c r="B904" s="31"/>
      <c r="C904" s="31"/>
      <c r="D904" s="31"/>
      <c r="F904" s="40"/>
    </row>
    <row r="905" spans="1:6" ht="13" x14ac:dyDescent="0.15">
      <c r="A905" s="7"/>
      <c r="B905" s="31"/>
      <c r="C905" s="31"/>
      <c r="D905" s="31"/>
      <c r="F905" s="40"/>
    </row>
    <row r="906" spans="1:6" ht="13" x14ac:dyDescent="0.15">
      <c r="A906" s="7"/>
      <c r="B906" s="31"/>
      <c r="C906" s="31"/>
      <c r="D906" s="31"/>
      <c r="F906" s="40"/>
    </row>
    <row r="907" spans="1:6" ht="13" x14ac:dyDescent="0.15">
      <c r="A907" s="7"/>
      <c r="B907" s="31"/>
      <c r="C907" s="31"/>
      <c r="D907" s="31"/>
      <c r="F907" s="40"/>
    </row>
    <row r="908" spans="1:6" ht="13" x14ac:dyDescent="0.15">
      <c r="A908" s="7"/>
      <c r="B908" s="31"/>
      <c r="C908" s="31"/>
      <c r="D908" s="31"/>
      <c r="F908" s="40"/>
    </row>
    <row r="909" spans="1:6" ht="13" x14ac:dyDescent="0.15">
      <c r="A909" s="7"/>
      <c r="B909" s="31"/>
      <c r="C909" s="31"/>
      <c r="D909" s="31"/>
      <c r="F909" s="40"/>
    </row>
    <row r="910" spans="1:6" ht="13" x14ac:dyDescent="0.15">
      <c r="A910" s="7"/>
      <c r="B910" s="31"/>
      <c r="C910" s="31"/>
      <c r="D910" s="31"/>
      <c r="F910" s="40"/>
    </row>
    <row r="911" spans="1:6" ht="13" x14ac:dyDescent="0.15">
      <c r="A911" s="7"/>
      <c r="B911" s="31"/>
      <c r="C911" s="31"/>
      <c r="D911" s="31"/>
      <c r="F911" s="40"/>
    </row>
    <row r="912" spans="1:6" ht="13" x14ac:dyDescent="0.15">
      <c r="A912" s="7"/>
      <c r="B912" s="31"/>
      <c r="C912" s="31"/>
      <c r="D912" s="31"/>
      <c r="F912" s="40"/>
    </row>
    <row r="913" spans="1:6" ht="13" x14ac:dyDescent="0.15">
      <c r="A913" s="7"/>
      <c r="B913" s="31"/>
      <c r="C913" s="31"/>
      <c r="D913" s="31"/>
      <c r="F913" s="40"/>
    </row>
    <row r="914" spans="1:6" ht="13" x14ac:dyDescent="0.15">
      <c r="A914" s="7"/>
      <c r="B914" s="31"/>
      <c r="C914" s="31"/>
      <c r="D914" s="31"/>
      <c r="F914" s="40"/>
    </row>
    <row r="915" spans="1:6" ht="13" x14ac:dyDescent="0.15">
      <c r="A915" s="7"/>
      <c r="B915" s="31"/>
      <c r="C915" s="31"/>
      <c r="D915" s="31"/>
      <c r="F915" s="40"/>
    </row>
    <row r="916" spans="1:6" ht="13" x14ac:dyDescent="0.15">
      <c r="A916" s="7"/>
      <c r="B916" s="31"/>
      <c r="C916" s="31"/>
      <c r="D916" s="31"/>
      <c r="F916" s="40"/>
    </row>
    <row r="917" spans="1:6" ht="13" x14ac:dyDescent="0.15">
      <c r="A917" s="7"/>
      <c r="B917" s="31"/>
      <c r="C917" s="31"/>
      <c r="D917" s="31"/>
      <c r="F917" s="40"/>
    </row>
    <row r="918" spans="1:6" ht="13" x14ac:dyDescent="0.15">
      <c r="A918" s="7"/>
      <c r="B918" s="31"/>
      <c r="C918" s="31"/>
      <c r="D918" s="31"/>
      <c r="F918" s="40"/>
    </row>
    <row r="919" spans="1:6" ht="13" x14ac:dyDescent="0.15">
      <c r="A919" s="7"/>
      <c r="B919" s="31"/>
      <c r="C919" s="31"/>
      <c r="D919" s="31"/>
      <c r="F919" s="40"/>
    </row>
    <row r="920" spans="1:6" ht="13" x14ac:dyDescent="0.15">
      <c r="A920" s="7"/>
      <c r="B920" s="31"/>
      <c r="C920" s="31"/>
      <c r="D920" s="31"/>
      <c r="F920" s="40"/>
    </row>
    <row r="921" spans="1:6" ht="13" x14ac:dyDescent="0.15">
      <c r="A921" s="7"/>
      <c r="B921" s="31"/>
      <c r="C921" s="31"/>
      <c r="D921" s="31"/>
      <c r="F921" s="40"/>
    </row>
    <row r="922" spans="1:6" ht="13" x14ac:dyDescent="0.15">
      <c r="A922" s="7"/>
      <c r="B922" s="31"/>
      <c r="C922" s="31"/>
      <c r="D922" s="31"/>
      <c r="F922" s="40"/>
    </row>
    <row r="923" spans="1:6" ht="13" x14ac:dyDescent="0.15">
      <c r="A923" s="7"/>
      <c r="B923" s="31"/>
      <c r="C923" s="31"/>
      <c r="D923" s="31"/>
      <c r="F923" s="40"/>
    </row>
    <row r="924" spans="1:6" ht="13" x14ac:dyDescent="0.15">
      <c r="A924" s="7"/>
      <c r="B924" s="31"/>
      <c r="C924" s="31"/>
      <c r="D924" s="31"/>
      <c r="F924" s="40"/>
    </row>
    <row r="925" spans="1:6" ht="13" x14ac:dyDescent="0.15">
      <c r="A925" s="7"/>
      <c r="B925" s="31"/>
      <c r="C925" s="31"/>
      <c r="D925" s="31"/>
      <c r="F925" s="40"/>
    </row>
    <row r="926" spans="1:6" ht="13" x14ac:dyDescent="0.15">
      <c r="A926" s="7"/>
      <c r="B926" s="31"/>
      <c r="C926" s="31"/>
      <c r="D926" s="31"/>
      <c r="F926" s="40"/>
    </row>
    <row r="927" spans="1:6" ht="13" x14ac:dyDescent="0.15">
      <c r="A927" s="7"/>
      <c r="B927" s="31"/>
      <c r="C927" s="31"/>
      <c r="D927" s="31"/>
      <c r="F927" s="40"/>
    </row>
    <row r="928" spans="1:6" ht="13" x14ac:dyDescent="0.15">
      <c r="A928" s="7"/>
      <c r="B928" s="31"/>
      <c r="C928" s="31"/>
      <c r="D928" s="31"/>
      <c r="F928" s="40"/>
    </row>
    <row r="929" spans="1:6" ht="13" x14ac:dyDescent="0.15">
      <c r="A929" s="7"/>
      <c r="B929" s="31"/>
      <c r="C929" s="31"/>
      <c r="D929" s="31"/>
      <c r="F929" s="40"/>
    </row>
    <row r="930" spans="1:6" ht="13" x14ac:dyDescent="0.15">
      <c r="A930" s="7"/>
      <c r="B930" s="31"/>
      <c r="C930" s="31"/>
      <c r="D930" s="31"/>
      <c r="F930" s="40"/>
    </row>
    <row r="931" spans="1:6" ht="13" x14ac:dyDescent="0.15">
      <c r="A931" s="7"/>
      <c r="B931" s="31"/>
      <c r="C931" s="31"/>
      <c r="D931" s="31"/>
      <c r="F931" s="40"/>
    </row>
    <row r="932" spans="1:6" ht="13" x14ac:dyDescent="0.15">
      <c r="A932" s="7"/>
      <c r="B932" s="31"/>
      <c r="C932" s="31"/>
      <c r="D932" s="31"/>
      <c r="F932" s="40"/>
    </row>
    <row r="933" spans="1:6" ht="13" x14ac:dyDescent="0.15">
      <c r="A933" s="7"/>
      <c r="B933" s="31"/>
      <c r="C933" s="31"/>
      <c r="D933" s="31"/>
      <c r="F933" s="40"/>
    </row>
    <row r="934" spans="1:6" ht="13" x14ac:dyDescent="0.15">
      <c r="A934" s="7"/>
      <c r="B934" s="31"/>
      <c r="C934" s="31"/>
      <c r="D934" s="31"/>
      <c r="F934" s="40"/>
    </row>
    <row r="935" spans="1:6" ht="13" x14ac:dyDescent="0.15">
      <c r="A935" s="7"/>
      <c r="B935" s="31"/>
      <c r="C935" s="31"/>
      <c r="D935" s="31"/>
      <c r="F935" s="40"/>
    </row>
    <row r="936" spans="1:6" ht="13" x14ac:dyDescent="0.15">
      <c r="A936" s="7"/>
      <c r="B936" s="31"/>
      <c r="C936" s="31"/>
      <c r="D936" s="31"/>
      <c r="F936" s="40"/>
    </row>
    <row r="937" spans="1:6" ht="13" x14ac:dyDescent="0.15">
      <c r="A937" s="7"/>
      <c r="B937" s="31"/>
      <c r="C937" s="31"/>
      <c r="D937" s="31"/>
      <c r="F937" s="40"/>
    </row>
    <row r="938" spans="1:6" ht="13" x14ac:dyDescent="0.15">
      <c r="A938" s="7"/>
      <c r="B938" s="31"/>
      <c r="C938" s="31"/>
      <c r="D938" s="31"/>
      <c r="F938" s="40"/>
    </row>
    <row r="939" spans="1:6" ht="13" x14ac:dyDescent="0.15">
      <c r="A939" s="7"/>
      <c r="B939" s="31"/>
      <c r="C939" s="31"/>
      <c r="D939" s="31"/>
      <c r="F939" s="40"/>
    </row>
    <row r="940" spans="1:6" ht="13" x14ac:dyDescent="0.15">
      <c r="A940" s="7"/>
      <c r="B940" s="31"/>
      <c r="C940" s="31"/>
      <c r="D940" s="31"/>
      <c r="F940" s="40"/>
    </row>
    <row r="941" spans="1:6" ht="13" x14ac:dyDescent="0.15">
      <c r="A941" s="7"/>
      <c r="B941" s="31"/>
      <c r="C941" s="31"/>
      <c r="D941" s="31"/>
      <c r="F941" s="40"/>
    </row>
    <row r="942" spans="1:6" ht="13" x14ac:dyDescent="0.15">
      <c r="A942" s="7"/>
      <c r="B942" s="31"/>
      <c r="C942" s="31"/>
      <c r="D942" s="31"/>
      <c r="F942" s="40"/>
    </row>
    <row r="943" spans="1:6" ht="13" x14ac:dyDescent="0.15">
      <c r="A943" s="7"/>
      <c r="B943" s="31"/>
      <c r="C943" s="31"/>
      <c r="D943" s="31"/>
      <c r="F943" s="40"/>
    </row>
    <row r="944" spans="1:6" ht="13" x14ac:dyDescent="0.15">
      <c r="A944" s="7"/>
      <c r="B944" s="31"/>
      <c r="C944" s="31"/>
      <c r="D944" s="31"/>
      <c r="F944" s="40"/>
    </row>
    <row r="945" spans="1:6" ht="13" x14ac:dyDescent="0.15">
      <c r="A945" s="7"/>
      <c r="B945" s="31"/>
      <c r="C945" s="31"/>
      <c r="D945" s="31"/>
      <c r="F945" s="40"/>
    </row>
    <row r="946" spans="1:6" ht="13" x14ac:dyDescent="0.15">
      <c r="A946" s="7"/>
      <c r="B946" s="31"/>
      <c r="C946" s="31"/>
      <c r="D946" s="31"/>
      <c r="F946" s="40"/>
    </row>
    <row r="947" spans="1:6" ht="13" x14ac:dyDescent="0.15">
      <c r="A947" s="7"/>
      <c r="B947" s="31"/>
      <c r="C947" s="31"/>
      <c r="D947" s="31"/>
      <c r="F947" s="40"/>
    </row>
    <row r="948" spans="1:6" ht="13" x14ac:dyDescent="0.15">
      <c r="A948" s="7"/>
      <c r="B948" s="31"/>
      <c r="C948" s="31"/>
      <c r="D948" s="31"/>
      <c r="F948" s="40"/>
    </row>
    <row r="949" spans="1:6" ht="13" x14ac:dyDescent="0.15">
      <c r="A949" s="7"/>
      <c r="B949" s="31"/>
      <c r="C949" s="31"/>
      <c r="D949" s="31"/>
      <c r="F949" s="40"/>
    </row>
    <row r="950" spans="1:6" ht="13" x14ac:dyDescent="0.15">
      <c r="A950" s="7"/>
      <c r="B950" s="31"/>
      <c r="C950" s="31"/>
      <c r="D950" s="31"/>
      <c r="F950" s="40"/>
    </row>
    <row r="951" spans="1:6" ht="13" x14ac:dyDescent="0.15">
      <c r="A951" s="7"/>
      <c r="B951" s="31"/>
      <c r="C951" s="31"/>
      <c r="D951" s="31"/>
      <c r="F951" s="40"/>
    </row>
    <row r="952" spans="1:6" ht="13" x14ac:dyDescent="0.15">
      <c r="A952" s="7"/>
      <c r="B952" s="31"/>
      <c r="C952" s="31"/>
      <c r="D952" s="31"/>
      <c r="F952" s="40"/>
    </row>
    <row r="953" spans="1:6" ht="13" x14ac:dyDescent="0.15">
      <c r="A953" s="7"/>
      <c r="B953" s="31"/>
      <c r="C953" s="31"/>
      <c r="D953" s="31"/>
      <c r="F953" s="40"/>
    </row>
    <row r="954" spans="1:6" ht="13" x14ac:dyDescent="0.15">
      <c r="A954" s="7"/>
      <c r="B954" s="31"/>
      <c r="C954" s="31"/>
      <c r="D954" s="31"/>
      <c r="F954" s="40"/>
    </row>
    <row r="955" spans="1:6" ht="13" x14ac:dyDescent="0.15">
      <c r="A955" s="7"/>
      <c r="B955" s="31"/>
      <c r="C955" s="31"/>
      <c r="D955" s="31"/>
      <c r="F955" s="40"/>
    </row>
    <row r="956" spans="1:6" ht="13" x14ac:dyDescent="0.15">
      <c r="A956" s="7"/>
      <c r="B956" s="31"/>
      <c r="C956" s="31"/>
      <c r="D956" s="31"/>
      <c r="F956" s="40"/>
    </row>
    <row r="957" spans="1:6" ht="13" x14ac:dyDescent="0.15">
      <c r="A957" s="7"/>
      <c r="B957" s="31"/>
      <c r="C957" s="31"/>
      <c r="D957" s="31"/>
      <c r="F957" s="40"/>
    </row>
    <row r="958" spans="1:6" ht="13" x14ac:dyDescent="0.15">
      <c r="A958" s="7"/>
      <c r="B958" s="31"/>
      <c r="C958" s="31"/>
      <c r="D958" s="31"/>
      <c r="F958" s="40"/>
    </row>
    <row r="959" spans="1:6" ht="13" x14ac:dyDescent="0.15">
      <c r="A959" s="7"/>
      <c r="B959" s="31"/>
      <c r="C959" s="31"/>
      <c r="D959" s="31"/>
      <c r="F959" s="40"/>
    </row>
    <row r="960" spans="1:6" ht="13" x14ac:dyDescent="0.15">
      <c r="A960" s="7"/>
      <c r="B960" s="31"/>
      <c r="C960" s="31"/>
      <c r="D960" s="31"/>
      <c r="F960" s="40"/>
    </row>
    <row r="961" spans="1:6" ht="13" x14ac:dyDescent="0.15">
      <c r="A961" s="7"/>
      <c r="B961" s="31"/>
      <c r="C961" s="31"/>
      <c r="D961" s="31"/>
      <c r="F961" s="40"/>
    </row>
    <row r="962" spans="1:6" ht="13" x14ac:dyDescent="0.15">
      <c r="A962" s="7"/>
      <c r="B962" s="31"/>
      <c r="C962" s="31"/>
      <c r="D962" s="31"/>
      <c r="F962" s="40"/>
    </row>
    <row r="963" spans="1:6" ht="13" x14ac:dyDescent="0.15">
      <c r="A963" s="7"/>
      <c r="B963" s="31"/>
      <c r="C963" s="31"/>
      <c r="D963" s="31"/>
      <c r="F963" s="40"/>
    </row>
    <row r="964" spans="1:6" ht="13" x14ac:dyDescent="0.15">
      <c r="A964" s="7"/>
      <c r="B964" s="31"/>
      <c r="C964" s="31"/>
      <c r="D964" s="31"/>
      <c r="F964" s="40"/>
    </row>
    <row r="965" spans="1:6" ht="13" x14ac:dyDescent="0.15">
      <c r="A965" s="7"/>
      <c r="B965" s="31"/>
      <c r="C965" s="31"/>
      <c r="D965" s="31"/>
      <c r="F965" s="40"/>
    </row>
    <row r="966" spans="1:6" ht="13" x14ac:dyDescent="0.15">
      <c r="A966" s="7"/>
      <c r="B966" s="31"/>
      <c r="C966" s="31"/>
      <c r="D966" s="31"/>
      <c r="F966" s="40"/>
    </row>
    <row r="967" spans="1:6" ht="13" x14ac:dyDescent="0.15">
      <c r="A967" s="7"/>
      <c r="B967" s="31"/>
      <c r="C967" s="31"/>
      <c r="D967" s="31"/>
      <c r="F967" s="40"/>
    </row>
    <row r="968" spans="1:6" ht="13" x14ac:dyDescent="0.15">
      <c r="A968" s="7"/>
      <c r="B968" s="31"/>
      <c r="C968" s="31"/>
      <c r="D968" s="31"/>
      <c r="F968" s="40"/>
    </row>
    <row r="969" spans="1:6" ht="13" x14ac:dyDescent="0.15">
      <c r="A969" s="7"/>
      <c r="B969" s="31"/>
      <c r="C969" s="31"/>
      <c r="D969" s="31"/>
      <c r="F969" s="40"/>
    </row>
    <row r="970" spans="1:6" ht="13" x14ac:dyDescent="0.15">
      <c r="A970" s="7"/>
      <c r="B970" s="31"/>
      <c r="C970" s="31"/>
      <c r="D970" s="31"/>
      <c r="F970" s="40"/>
    </row>
    <row r="971" spans="1:6" ht="13" x14ac:dyDescent="0.15">
      <c r="A971" s="7"/>
      <c r="B971" s="31"/>
      <c r="C971" s="31"/>
      <c r="D971" s="31"/>
      <c r="F971" s="40"/>
    </row>
    <row r="972" spans="1:6" ht="13" x14ac:dyDescent="0.15">
      <c r="A972" s="7"/>
      <c r="B972" s="31"/>
      <c r="C972" s="31"/>
      <c r="D972" s="31"/>
      <c r="F972" s="40"/>
    </row>
    <row r="973" spans="1:6" ht="13" x14ac:dyDescent="0.15">
      <c r="A973" s="7"/>
      <c r="B973" s="31"/>
      <c r="C973" s="31"/>
      <c r="D973" s="31"/>
      <c r="F973" s="40"/>
    </row>
    <row r="974" spans="1:6" ht="13" x14ac:dyDescent="0.15">
      <c r="A974" s="7"/>
      <c r="B974" s="31"/>
      <c r="C974" s="31"/>
      <c r="D974" s="31"/>
      <c r="F974" s="40"/>
    </row>
    <row r="975" spans="1:6" ht="13" x14ac:dyDescent="0.15">
      <c r="A975" s="7"/>
      <c r="B975" s="31"/>
      <c r="C975" s="31"/>
      <c r="D975" s="31"/>
      <c r="F975" s="40"/>
    </row>
    <row r="976" spans="1:6" ht="13" x14ac:dyDescent="0.15">
      <c r="A976" s="7"/>
      <c r="B976" s="31"/>
      <c r="C976" s="31"/>
      <c r="D976" s="31"/>
      <c r="F976" s="40"/>
    </row>
    <row r="977" spans="1:6" ht="13" x14ac:dyDescent="0.15">
      <c r="A977" s="7"/>
      <c r="B977" s="31"/>
      <c r="C977" s="31"/>
      <c r="D977" s="31"/>
      <c r="F977" s="40"/>
    </row>
    <row r="978" spans="1:6" ht="13" x14ac:dyDescent="0.15">
      <c r="A978" s="7"/>
      <c r="B978" s="31"/>
      <c r="C978" s="31"/>
      <c r="D978" s="31"/>
      <c r="F978" s="40"/>
    </row>
    <row r="979" spans="1:6" ht="13" x14ac:dyDescent="0.15">
      <c r="A979" s="7"/>
      <c r="B979" s="31"/>
      <c r="C979" s="31"/>
      <c r="D979" s="31"/>
      <c r="F979" s="40"/>
    </row>
    <row r="980" spans="1:6" ht="13" x14ac:dyDescent="0.15">
      <c r="A980" s="7"/>
      <c r="B980" s="31"/>
      <c r="C980" s="31"/>
      <c r="D980" s="31"/>
      <c r="F980" s="40"/>
    </row>
    <row r="981" spans="1:6" ht="13" x14ac:dyDescent="0.15">
      <c r="A981" s="7"/>
      <c r="B981" s="31"/>
      <c r="C981" s="31"/>
      <c r="D981" s="31"/>
      <c r="F981" s="40"/>
    </row>
    <row r="982" spans="1:6" ht="13" x14ac:dyDescent="0.15">
      <c r="A982" s="7"/>
      <c r="B982" s="31"/>
      <c r="C982" s="31"/>
      <c r="D982" s="31"/>
      <c r="F982" s="40"/>
    </row>
    <row r="983" spans="1:6" ht="13" x14ac:dyDescent="0.15">
      <c r="A983" s="7"/>
      <c r="B983" s="31"/>
      <c r="C983" s="31"/>
      <c r="D983" s="31"/>
      <c r="F983" s="40"/>
    </row>
    <row r="984" spans="1:6" ht="13" x14ac:dyDescent="0.15">
      <c r="A984" s="7"/>
      <c r="B984" s="31"/>
      <c r="C984" s="31"/>
      <c r="D984" s="31"/>
      <c r="F984" s="40"/>
    </row>
    <row r="985" spans="1:6" ht="13" x14ac:dyDescent="0.15">
      <c r="A985" s="7"/>
      <c r="B985" s="31"/>
      <c r="C985" s="31"/>
      <c r="D985" s="31"/>
      <c r="F985" s="40"/>
    </row>
    <row r="986" spans="1:6" ht="13" x14ac:dyDescent="0.15">
      <c r="A986" s="7"/>
      <c r="B986" s="31"/>
      <c r="C986" s="31"/>
      <c r="D986" s="31"/>
      <c r="F986" s="40"/>
    </row>
    <row r="987" spans="1:6" ht="13" x14ac:dyDescent="0.15">
      <c r="A987" s="7"/>
      <c r="B987" s="31"/>
      <c r="C987" s="31"/>
      <c r="D987" s="31"/>
      <c r="F987" s="40"/>
    </row>
    <row r="988" spans="1:6" ht="13" x14ac:dyDescent="0.15">
      <c r="A988" s="7"/>
      <c r="B988" s="31"/>
      <c r="C988" s="31"/>
      <c r="D988" s="31"/>
      <c r="F988" s="40"/>
    </row>
    <row r="989" spans="1:6" ht="13" x14ac:dyDescent="0.15">
      <c r="A989" s="7"/>
      <c r="B989" s="31"/>
      <c r="C989" s="31"/>
      <c r="D989" s="31"/>
      <c r="F989" s="40"/>
    </row>
    <row r="990" spans="1:6" ht="13" x14ac:dyDescent="0.15">
      <c r="A990" s="7"/>
      <c r="B990" s="31"/>
      <c r="C990" s="31"/>
      <c r="D990" s="31"/>
      <c r="F990" s="40"/>
    </row>
    <row r="991" spans="1:6" ht="13" x14ac:dyDescent="0.15">
      <c r="A991" s="7"/>
      <c r="B991" s="31"/>
      <c r="C991" s="31"/>
      <c r="D991" s="31"/>
      <c r="F991" s="40"/>
    </row>
    <row r="992" spans="1:6" ht="13" x14ac:dyDescent="0.15">
      <c r="A992" s="7"/>
      <c r="B992" s="31"/>
      <c r="C992" s="31"/>
      <c r="D992" s="31"/>
      <c r="F992" s="40"/>
    </row>
    <row r="993" spans="1:6" ht="13" x14ac:dyDescent="0.15">
      <c r="A993" s="7"/>
      <c r="B993" s="31"/>
      <c r="C993" s="31"/>
      <c r="D993" s="31"/>
      <c r="F993" s="40"/>
    </row>
    <row r="994" spans="1:6" ht="13" x14ac:dyDescent="0.15">
      <c r="A994" s="7"/>
      <c r="B994" s="31"/>
      <c r="C994" s="31"/>
      <c r="D994" s="31"/>
      <c r="F994" s="40"/>
    </row>
    <row r="995" spans="1:6" ht="13" x14ac:dyDescent="0.15">
      <c r="A995" s="7"/>
      <c r="B995" s="31"/>
      <c r="C995" s="31"/>
      <c r="D995" s="31"/>
      <c r="F995" s="40"/>
    </row>
    <row r="996" spans="1:6" ht="13" x14ac:dyDescent="0.15">
      <c r="A996" s="7"/>
      <c r="B996" s="31"/>
      <c r="C996" s="31"/>
      <c r="D996" s="31"/>
      <c r="F996" s="40"/>
    </row>
    <row r="997" spans="1:6" ht="13" x14ac:dyDescent="0.15">
      <c r="A997" s="7"/>
      <c r="B997" s="31"/>
      <c r="C997" s="31"/>
      <c r="D997" s="31"/>
      <c r="F997" s="40"/>
    </row>
    <row r="998" spans="1:6" ht="13" x14ac:dyDescent="0.15">
      <c r="A998" s="7"/>
      <c r="B998" s="31"/>
      <c r="C998" s="31"/>
      <c r="D998" s="31"/>
      <c r="F998" s="40"/>
    </row>
    <row r="999" spans="1:6" ht="13" x14ac:dyDescent="0.15">
      <c r="A999" s="7"/>
      <c r="B999" s="31"/>
      <c r="C999" s="31"/>
      <c r="D999" s="31"/>
      <c r="F999" s="40"/>
    </row>
    <row r="1000" spans="1:6" ht="13" x14ac:dyDescent="0.15">
      <c r="A1000" s="7"/>
      <c r="B1000" s="31"/>
      <c r="C1000" s="31"/>
      <c r="D1000" s="31"/>
      <c r="F1000" s="40"/>
    </row>
    <row r="1001" spans="1:6" ht="13" x14ac:dyDescent="0.15">
      <c r="A1001" s="7"/>
      <c r="B1001" s="31"/>
      <c r="C1001" s="31"/>
      <c r="D1001" s="31"/>
      <c r="F1001" s="40"/>
    </row>
    <row r="1002" spans="1:6" ht="13" x14ac:dyDescent="0.15">
      <c r="A1002" s="7"/>
      <c r="B1002" s="31"/>
      <c r="C1002" s="31"/>
      <c r="D1002" s="31"/>
      <c r="F1002" s="40"/>
    </row>
    <row r="1003" spans="1:6" ht="13" x14ac:dyDescent="0.15">
      <c r="A1003" s="7"/>
      <c r="B1003" s="31"/>
      <c r="C1003" s="31"/>
      <c r="D1003" s="31"/>
      <c r="F1003" s="40"/>
    </row>
    <row r="1004" spans="1:6" ht="13" x14ac:dyDescent="0.15">
      <c r="A1004" s="7"/>
      <c r="B1004" s="31"/>
      <c r="C1004" s="31"/>
      <c r="D1004" s="31"/>
      <c r="F1004" s="40"/>
    </row>
    <row r="1005" spans="1:6" ht="13" x14ac:dyDescent="0.15">
      <c r="A1005" s="7"/>
      <c r="B1005" s="31"/>
      <c r="C1005" s="31"/>
      <c r="D1005" s="31"/>
      <c r="F1005" s="40"/>
    </row>
    <row r="1006" spans="1:6" ht="13" x14ac:dyDescent="0.15">
      <c r="A1006" s="7"/>
      <c r="B1006" s="31"/>
      <c r="C1006" s="31"/>
      <c r="D1006" s="31"/>
      <c r="F1006" s="40"/>
    </row>
    <row r="1007" spans="1:6" ht="13" x14ac:dyDescent="0.15">
      <c r="A1007" s="7"/>
      <c r="B1007" s="31"/>
      <c r="C1007" s="31"/>
      <c r="D1007" s="31"/>
      <c r="F1007" s="40"/>
    </row>
    <row r="1008" spans="1:6" ht="13" x14ac:dyDescent="0.15">
      <c r="A1008" s="7"/>
      <c r="B1008" s="31"/>
      <c r="C1008" s="31"/>
      <c r="D1008" s="31"/>
      <c r="F1008" s="40"/>
    </row>
    <row r="1009" spans="1:6" ht="13" x14ac:dyDescent="0.15">
      <c r="A1009" s="7"/>
      <c r="B1009" s="31"/>
      <c r="C1009" s="31"/>
      <c r="D1009" s="31"/>
      <c r="F1009" s="40"/>
    </row>
    <row r="1010" spans="1:6" ht="13" x14ac:dyDescent="0.15">
      <c r="A1010" s="7"/>
      <c r="B1010" s="31"/>
      <c r="C1010" s="31"/>
      <c r="D1010" s="31"/>
      <c r="F1010" s="40"/>
    </row>
    <row r="1011" spans="1:6" ht="13" x14ac:dyDescent="0.15">
      <c r="A1011" s="7"/>
      <c r="B1011" s="31"/>
      <c r="C1011" s="31"/>
      <c r="D1011" s="31"/>
      <c r="F1011" s="40"/>
    </row>
    <row r="1012" spans="1:6" ht="13" x14ac:dyDescent="0.15">
      <c r="A1012" s="7"/>
      <c r="B1012" s="31"/>
      <c r="C1012" s="31"/>
      <c r="D1012" s="31"/>
      <c r="F1012" s="40"/>
    </row>
    <row r="1013" spans="1:6" ht="13" x14ac:dyDescent="0.15">
      <c r="A1013" s="7"/>
      <c r="B1013" s="31"/>
      <c r="C1013" s="31"/>
      <c r="D1013" s="31"/>
      <c r="F1013" s="40"/>
    </row>
    <row r="1014" spans="1:6" ht="13" x14ac:dyDescent="0.15">
      <c r="A1014" s="7"/>
      <c r="B1014" s="31"/>
      <c r="C1014" s="31"/>
      <c r="D1014" s="31"/>
      <c r="F1014" s="40"/>
    </row>
    <row r="1015" spans="1:6" ht="13" x14ac:dyDescent="0.15">
      <c r="A1015" s="7"/>
      <c r="B1015" s="31"/>
      <c r="C1015" s="31"/>
      <c r="D1015" s="31"/>
      <c r="F1015" s="40"/>
    </row>
    <row r="1016" spans="1:6" ht="13" x14ac:dyDescent="0.15">
      <c r="A1016" s="7"/>
      <c r="B1016" s="31"/>
      <c r="C1016" s="31"/>
      <c r="D1016" s="31"/>
      <c r="F1016" s="40"/>
    </row>
    <row r="1017" spans="1:6" ht="13" x14ac:dyDescent="0.15">
      <c r="A1017" s="7"/>
      <c r="B1017" s="31"/>
      <c r="C1017" s="31"/>
      <c r="D1017" s="31"/>
      <c r="F1017" s="40"/>
    </row>
    <row r="1018" spans="1:6" ht="13" x14ac:dyDescent="0.15">
      <c r="A1018" s="7"/>
      <c r="B1018" s="31"/>
      <c r="C1018" s="31"/>
      <c r="D1018" s="31"/>
      <c r="F1018" s="40"/>
    </row>
    <row r="1019" spans="1:6" ht="13" x14ac:dyDescent="0.15">
      <c r="A1019" s="7"/>
      <c r="B1019" s="31"/>
      <c r="C1019" s="31"/>
      <c r="D1019" s="31"/>
      <c r="F1019" s="40"/>
    </row>
    <row r="1020" spans="1:6" ht="13" x14ac:dyDescent="0.15">
      <c r="A1020" s="7"/>
      <c r="B1020" s="31"/>
      <c r="C1020" s="31"/>
      <c r="D1020" s="31"/>
      <c r="F1020" s="40"/>
    </row>
    <row r="1021" spans="1:6" ht="13" x14ac:dyDescent="0.15">
      <c r="A1021" s="7"/>
      <c r="B1021" s="31"/>
      <c r="C1021" s="31"/>
      <c r="D1021" s="31"/>
      <c r="F1021" s="40"/>
    </row>
    <row r="1022" spans="1:6" ht="13" x14ac:dyDescent="0.15">
      <c r="A1022" s="7"/>
      <c r="B1022" s="31"/>
      <c r="C1022" s="31"/>
      <c r="D1022" s="31"/>
      <c r="F1022" s="40"/>
    </row>
    <row r="1023" spans="1:6" ht="13" x14ac:dyDescent="0.15">
      <c r="A1023" s="7"/>
      <c r="B1023" s="31"/>
      <c r="C1023" s="31"/>
      <c r="D1023" s="31"/>
      <c r="F1023" s="40"/>
    </row>
    <row r="1024" spans="1:6" ht="13" x14ac:dyDescent="0.15">
      <c r="A1024" s="7"/>
      <c r="B1024" s="31"/>
      <c r="C1024" s="31"/>
      <c r="D1024" s="31"/>
      <c r="F1024" s="40"/>
    </row>
    <row r="1025" spans="1:6" ht="13" x14ac:dyDescent="0.15">
      <c r="A1025" s="7"/>
      <c r="B1025" s="31"/>
      <c r="C1025" s="31"/>
      <c r="D1025" s="31"/>
      <c r="F1025" s="40"/>
    </row>
    <row r="1026" spans="1:6" ht="13" x14ac:dyDescent="0.15">
      <c r="A1026" s="7"/>
      <c r="B1026" s="31"/>
      <c r="C1026" s="31"/>
      <c r="D1026" s="31"/>
      <c r="F1026" s="40"/>
    </row>
    <row r="1027" spans="1:6" ht="13" x14ac:dyDescent="0.15">
      <c r="A1027" s="7"/>
      <c r="B1027" s="31"/>
      <c r="C1027" s="31"/>
      <c r="D1027" s="31"/>
      <c r="F1027" s="40"/>
    </row>
    <row r="1028" spans="1:6" ht="13" x14ac:dyDescent="0.15">
      <c r="A1028" s="7"/>
      <c r="B1028" s="31"/>
      <c r="C1028" s="31"/>
      <c r="D1028" s="31"/>
      <c r="F1028" s="40"/>
    </row>
    <row r="1029" spans="1:6" ht="13" x14ac:dyDescent="0.15">
      <c r="A1029" s="7"/>
      <c r="B1029" s="31"/>
      <c r="C1029" s="31"/>
      <c r="D1029" s="31"/>
      <c r="F1029" s="40"/>
    </row>
    <row r="1030" spans="1:6" ht="13" x14ac:dyDescent="0.15">
      <c r="A1030" s="7"/>
      <c r="B1030" s="31"/>
      <c r="C1030" s="31"/>
      <c r="D1030" s="31"/>
      <c r="F1030" s="40"/>
    </row>
    <row r="1031" spans="1:6" ht="13" x14ac:dyDescent="0.15">
      <c r="A1031" s="7"/>
      <c r="B1031" s="31"/>
      <c r="C1031" s="31"/>
      <c r="D1031" s="31"/>
      <c r="F1031" s="40"/>
    </row>
    <row r="1032" spans="1:6" ht="13" x14ac:dyDescent="0.15">
      <c r="A1032" s="7"/>
      <c r="B1032" s="31"/>
      <c r="C1032" s="31"/>
      <c r="D1032" s="31"/>
      <c r="F1032" s="40"/>
    </row>
    <row r="1033" spans="1:6" ht="13" x14ac:dyDescent="0.15">
      <c r="A1033" s="7"/>
      <c r="B1033" s="31"/>
      <c r="C1033" s="31"/>
      <c r="D1033" s="31"/>
      <c r="F1033" s="40"/>
    </row>
    <row r="1034" spans="1:6" ht="13" x14ac:dyDescent="0.15">
      <c r="A1034" s="7"/>
      <c r="B1034" s="31"/>
      <c r="C1034" s="31"/>
      <c r="D1034" s="31"/>
      <c r="F1034" s="40"/>
    </row>
    <row r="1035" spans="1:6" ht="13" x14ac:dyDescent="0.15">
      <c r="A1035" s="7"/>
      <c r="B1035" s="31"/>
      <c r="C1035" s="31"/>
      <c r="D1035" s="31"/>
      <c r="F1035" s="40"/>
    </row>
    <row r="1036" spans="1:6" ht="13" x14ac:dyDescent="0.15">
      <c r="A1036" s="7"/>
      <c r="B1036" s="31"/>
      <c r="C1036" s="31"/>
      <c r="D1036" s="31"/>
      <c r="F1036" s="40"/>
    </row>
    <row r="1037" spans="1:6" ht="13" x14ac:dyDescent="0.15">
      <c r="A1037" s="7"/>
      <c r="B1037" s="31"/>
      <c r="C1037" s="31"/>
      <c r="D1037" s="31"/>
      <c r="F1037" s="40"/>
    </row>
    <row r="1038" spans="1:6" ht="13" x14ac:dyDescent="0.15">
      <c r="A1038" s="7"/>
      <c r="B1038" s="31"/>
      <c r="C1038" s="31"/>
      <c r="D1038" s="31"/>
      <c r="F1038" s="40"/>
    </row>
    <row r="1039" spans="1:6" ht="13" x14ac:dyDescent="0.15">
      <c r="A1039" s="7"/>
      <c r="B1039" s="31"/>
      <c r="C1039" s="31"/>
      <c r="D1039" s="31"/>
      <c r="F1039" s="40"/>
    </row>
    <row r="1040" spans="1:6" ht="13" x14ac:dyDescent="0.15">
      <c r="A1040" s="7"/>
      <c r="B1040" s="31"/>
      <c r="C1040" s="31"/>
      <c r="D1040" s="31"/>
      <c r="F1040" s="40"/>
    </row>
    <row r="1041" spans="1:6" ht="13" x14ac:dyDescent="0.15">
      <c r="A1041" s="7"/>
      <c r="B1041" s="31"/>
      <c r="C1041" s="31"/>
      <c r="D1041" s="31"/>
      <c r="F1041" s="40"/>
    </row>
    <row r="1042" spans="1:6" ht="13" x14ac:dyDescent="0.15">
      <c r="A1042" s="7"/>
      <c r="B1042" s="31"/>
      <c r="C1042" s="31"/>
      <c r="D1042" s="31"/>
      <c r="F1042" s="40"/>
    </row>
    <row r="1043" spans="1:6" ht="13" x14ac:dyDescent="0.15">
      <c r="A1043" s="7"/>
      <c r="B1043" s="31"/>
      <c r="C1043" s="31"/>
      <c r="D1043" s="31"/>
      <c r="F1043" s="40"/>
    </row>
    <row r="1044" spans="1:6" ht="13" x14ac:dyDescent="0.15">
      <c r="A1044" s="7"/>
      <c r="B1044" s="31"/>
      <c r="C1044" s="31"/>
      <c r="D1044" s="31"/>
      <c r="F1044" s="40"/>
    </row>
    <row r="1045" spans="1:6" ht="13" x14ac:dyDescent="0.15">
      <c r="A1045" s="7"/>
      <c r="B1045" s="31"/>
      <c r="C1045" s="31"/>
      <c r="D1045" s="31"/>
      <c r="F1045" s="40"/>
    </row>
    <row r="1046" spans="1:6" ht="13" x14ac:dyDescent="0.15">
      <c r="A1046" s="7"/>
      <c r="B1046" s="31"/>
      <c r="C1046" s="31"/>
      <c r="D1046" s="31"/>
      <c r="F1046" s="40"/>
    </row>
    <row r="1047" spans="1:6" ht="13" x14ac:dyDescent="0.15">
      <c r="A1047" s="7"/>
      <c r="B1047" s="31"/>
      <c r="C1047" s="31"/>
      <c r="D1047" s="31"/>
      <c r="F1047" s="40"/>
    </row>
    <row r="1048" spans="1:6" ht="13" x14ac:dyDescent="0.15">
      <c r="A1048" s="7"/>
      <c r="B1048" s="31"/>
      <c r="C1048" s="31"/>
      <c r="D1048" s="31"/>
      <c r="F1048" s="40"/>
    </row>
    <row r="1049" spans="1:6" ht="13" x14ac:dyDescent="0.15">
      <c r="A1049" s="7"/>
      <c r="B1049" s="31"/>
      <c r="C1049" s="31"/>
      <c r="D1049" s="31"/>
      <c r="F1049" s="40"/>
    </row>
    <row r="1050" spans="1:6" ht="13" x14ac:dyDescent="0.15">
      <c r="A1050" s="7"/>
      <c r="B1050" s="31"/>
      <c r="C1050" s="31"/>
      <c r="D1050" s="31"/>
      <c r="F1050" s="40"/>
    </row>
    <row r="1051" spans="1:6" ht="13" x14ac:dyDescent="0.15">
      <c r="A1051" s="7"/>
      <c r="B1051" s="31"/>
      <c r="C1051" s="31"/>
      <c r="D1051" s="31"/>
      <c r="F1051" s="40"/>
    </row>
    <row r="1052" spans="1:6" ht="13" x14ac:dyDescent="0.15">
      <c r="A1052" s="7"/>
      <c r="B1052" s="31"/>
      <c r="C1052" s="31"/>
      <c r="D1052" s="31"/>
      <c r="F1052" s="40"/>
    </row>
    <row r="1053" spans="1:6" ht="13" x14ac:dyDescent="0.15">
      <c r="A1053" s="7"/>
      <c r="B1053" s="31"/>
      <c r="C1053" s="31"/>
      <c r="D1053" s="31"/>
      <c r="F1053" s="40"/>
    </row>
    <row r="1054" spans="1:6" ht="13" x14ac:dyDescent="0.15">
      <c r="A1054" s="7"/>
      <c r="B1054" s="31"/>
      <c r="C1054" s="31"/>
      <c r="D1054" s="31"/>
      <c r="F1054" s="40"/>
    </row>
    <row r="1055" spans="1:6" ht="13" x14ac:dyDescent="0.15">
      <c r="A1055" s="7"/>
      <c r="B1055" s="31"/>
      <c r="C1055" s="31"/>
      <c r="D1055" s="31"/>
      <c r="F1055" s="40"/>
    </row>
    <row r="1056" spans="1:6" ht="13" x14ac:dyDescent="0.15">
      <c r="A1056" s="7"/>
      <c r="B1056" s="31"/>
      <c r="C1056" s="31"/>
      <c r="D1056" s="31"/>
      <c r="F1056" s="40"/>
    </row>
    <row r="1057" spans="1:6" ht="13" x14ac:dyDescent="0.15">
      <c r="A1057" s="7"/>
      <c r="B1057" s="31"/>
      <c r="C1057" s="31"/>
      <c r="D1057" s="31"/>
      <c r="F1057" s="40"/>
    </row>
    <row r="1058" spans="1:6" ht="13" x14ac:dyDescent="0.15">
      <c r="A1058" s="7"/>
      <c r="B1058" s="31"/>
      <c r="C1058" s="31"/>
      <c r="D1058" s="31"/>
      <c r="F1058" s="40"/>
    </row>
    <row r="1059" spans="1:6" ht="13" x14ac:dyDescent="0.15">
      <c r="A1059" s="7"/>
      <c r="B1059" s="31"/>
      <c r="C1059" s="31"/>
      <c r="D1059" s="31"/>
      <c r="F1059" s="40"/>
    </row>
    <row r="1060" spans="1:6" ht="13" x14ac:dyDescent="0.15">
      <c r="A1060" s="7"/>
      <c r="B1060" s="31"/>
      <c r="C1060" s="31"/>
      <c r="D1060" s="31"/>
      <c r="F1060" s="40"/>
    </row>
    <row r="1061" spans="1:6" ht="13" x14ac:dyDescent="0.15">
      <c r="A1061" s="7"/>
      <c r="B1061" s="31"/>
      <c r="C1061" s="31"/>
      <c r="D1061" s="31"/>
      <c r="F1061" s="40"/>
    </row>
    <row r="1062" spans="1:6" ht="13" x14ac:dyDescent="0.15">
      <c r="A1062" s="7"/>
      <c r="B1062" s="31"/>
      <c r="C1062" s="31"/>
      <c r="D1062" s="31"/>
      <c r="F1062" s="40"/>
    </row>
    <row r="1063" spans="1:6" ht="13" x14ac:dyDescent="0.15">
      <c r="A1063" s="7"/>
      <c r="B1063" s="31"/>
      <c r="C1063" s="31"/>
      <c r="D1063" s="31"/>
      <c r="F1063" s="40"/>
    </row>
    <row r="1064" spans="1:6" ht="13" x14ac:dyDescent="0.15">
      <c r="A1064" s="7"/>
      <c r="B1064" s="31"/>
      <c r="C1064" s="31"/>
      <c r="D1064" s="31"/>
      <c r="F1064" s="40"/>
    </row>
    <row r="1065" spans="1:6" ht="13" x14ac:dyDescent="0.15">
      <c r="A1065" s="7"/>
      <c r="B1065" s="31"/>
      <c r="C1065" s="31"/>
      <c r="D1065" s="31"/>
      <c r="F1065" s="40"/>
    </row>
    <row r="1066" spans="1:6" ht="13" x14ac:dyDescent="0.15">
      <c r="A1066" s="7"/>
      <c r="B1066" s="31"/>
      <c r="C1066" s="31"/>
      <c r="D1066" s="31"/>
      <c r="F1066" s="40"/>
    </row>
    <row r="1067" spans="1:6" ht="13" x14ac:dyDescent="0.15">
      <c r="A1067" s="7"/>
      <c r="B1067" s="31"/>
      <c r="C1067" s="31"/>
      <c r="D1067" s="31"/>
      <c r="F1067" s="40"/>
    </row>
    <row r="1068" spans="1:6" ht="13" x14ac:dyDescent="0.15">
      <c r="A1068" s="7"/>
      <c r="B1068" s="31"/>
      <c r="C1068" s="31"/>
      <c r="D1068" s="31"/>
      <c r="F1068" s="40"/>
    </row>
    <row r="1069" spans="1:6" ht="13" x14ac:dyDescent="0.15">
      <c r="A1069" s="7"/>
      <c r="B1069" s="31"/>
      <c r="C1069" s="31"/>
      <c r="D1069" s="31"/>
      <c r="F1069" s="40"/>
    </row>
    <row r="1070" spans="1:6" ht="13" x14ac:dyDescent="0.15">
      <c r="A1070" s="7"/>
      <c r="B1070" s="31"/>
      <c r="C1070" s="31"/>
      <c r="D1070" s="31"/>
      <c r="F1070" s="40"/>
    </row>
    <row r="1071" spans="1:6" ht="13" x14ac:dyDescent="0.15">
      <c r="A1071" s="7"/>
      <c r="B1071" s="31"/>
      <c r="C1071" s="31"/>
      <c r="D1071" s="31"/>
      <c r="F1071" s="40"/>
    </row>
    <row r="1072" spans="1:6" ht="13" x14ac:dyDescent="0.15">
      <c r="A1072" s="7"/>
      <c r="B1072" s="31"/>
      <c r="C1072" s="31"/>
      <c r="D1072" s="31"/>
      <c r="F1072" s="40"/>
    </row>
    <row r="1073" spans="1:6" ht="13" x14ac:dyDescent="0.15">
      <c r="A1073" s="7"/>
      <c r="B1073" s="31"/>
      <c r="C1073" s="31"/>
      <c r="D1073" s="31"/>
      <c r="F1073" s="40"/>
    </row>
    <row r="1074" spans="1:6" ht="13" x14ac:dyDescent="0.15">
      <c r="A1074" s="7"/>
      <c r="B1074" s="31"/>
      <c r="C1074" s="31"/>
      <c r="D1074" s="31"/>
      <c r="F1074" s="40"/>
    </row>
    <row r="1075" spans="1:6" ht="13" x14ac:dyDescent="0.15">
      <c r="A1075" s="7"/>
      <c r="B1075" s="31"/>
      <c r="C1075" s="31"/>
      <c r="D1075" s="31"/>
      <c r="F1075" s="40"/>
    </row>
    <row r="1076" spans="1:6" ht="13" x14ac:dyDescent="0.15">
      <c r="A1076" s="7"/>
      <c r="B1076" s="31"/>
      <c r="C1076" s="31"/>
      <c r="D1076" s="31"/>
      <c r="F1076" s="40"/>
    </row>
    <row r="1077" spans="1:6" ht="13" x14ac:dyDescent="0.15">
      <c r="A1077" s="7"/>
      <c r="B1077" s="31"/>
      <c r="C1077" s="31"/>
      <c r="D1077" s="31"/>
      <c r="F1077" s="40"/>
    </row>
    <row r="1078" spans="1:6" ht="13" x14ac:dyDescent="0.15">
      <c r="A1078" s="7"/>
      <c r="B1078" s="31"/>
      <c r="C1078" s="31"/>
      <c r="D1078" s="31"/>
      <c r="F1078" s="40"/>
    </row>
    <row r="1079" spans="1:6" ht="13" x14ac:dyDescent="0.15">
      <c r="A1079" s="7"/>
      <c r="B1079" s="31"/>
      <c r="C1079" s="31"/>
      <c r="D1079" s="31"/>
      <c r="F1079" s="40"/>
    </row>
    <row r="1080" spans="1:6" ht="13" x14ac:dyDescent="0.15">
      <c r="A1080" s="7"/>
      <c r="B1080" s="31"/>
      <c r="C1080" s="31"/>
      <c r="D1080" s="31"/>
      <c r="F1080" s="40"/>
    </row>
    <row r="1081" spans="1:6" ht="13" x14ac:dyDescent="0.15">
      <c r="A1081" s="7"/>
      <c r="B1081" s="31"/>
      <c r="C1081" s="31"/>
      <c r="D1081" s="31"/>
      <c r="F1081" s="40"/>
    </row>
    <row r="1082" spans="1:6" ht="13" x14ac:dyDescent="0.15">
      <c r="A1082" s="7"/>
      <c r="B1082" s="31"/>
      <c r="C1082" s="31"/>
      <c r="D1082" s="31"/>
      <c r="F1082" s="40"/>
    </row>
    <row r="1083" spans="1:6" ht="13" x14ac:dyDescent="0.15">
      <c r="A1083" s="7"/>
      <c r="B1083" s="31"/>
      <c r="C1083" s="31"/>
      <c r="D1083" s="31"/>
      <c r="F1083" s="40"/>
    </row>
    <row r="1084" spans="1:6" ht="13" x14ac:dyDescent="0.15">
      <c r="A1084" s="7"/>
      <c r="B1084" s="31"/>
      <c r="C1084" s="31"/>
      <c r="D1084" s="31"/>
      <c r="F1084" s="40"/>
    </row>
    <row r="1085" spans="1:6" ht="13" x14ac:dyDescent="0.15">
      <c r="A1085" s="7"/>
      <c r="B1085" s="31"/>
      <c r="C1085" s="31"/>
      <c r="D1085" s="31"/>
      <c r="F1085" s="40"/>
    </row>
    <row r="1086" spans="1:6" ht="13" x14ac:dyDescent="0.15">
      <c r="A1086" s="7"/>
      <c r="B1086" s="31"/>
      <c r="C1086" s="31"/>
      <c r="D1086" s="31"/>
      <c r="F1086" s="40"/>
    </row>
    <row r="1087" spans="1:6" ht="13" x14ac:dyDescent="0.15">
      <c r="A1087" s="7"/>
      <c r="B1087" s="31"/>
      <c r="C1087" s="31"/>
      <c r="D1087" s="31"/>
      <c r="F1087" s="40"/>
    </row>
    <row r="1088" spans="1:6" ht="13" x14ac:dyDescent="0.15">
      <c r="A1088" s="7"/>
      <c r="B1088" s="31"/>
      <c r="C1088" s="31"/>
      <c r="D1088" s="31"/>
      <c r="F1088" s="40"/>
    </row>
    <row r="1089" spans="1:6" ht="13" x14ac:dyDescent="0.15">
      <c r="A1089" s="7"/>
      <c r="B1089" s="31"/>
      <c r="C1089" s="31"/>
      <c r="D1089" s="31"/>
      <c r="F1089" s="40"/>
    </row>
    <row r="1090" spans="1:6" ht="13" x14ac:dyDescent="0.15">
      <c r="A1090" s="7"/>
      <c r="B1090" s="31"/>
      <c r="C1090" s="31"/>
      <c r="D1090" s="31"/>
      <c r="F1090" s="40"/>
    </row>
    <row r="1091" spans="1:6" ht="13" x14ac:dyDescent="0.15">
      <c r="A1091" s="7"/>
      <c r="B1091" s="31"/>
      <c r="C1091" s="31"/>
      <c r="D1091" s="31"/>
      <c r="F1091" s="40"/>
    </row>
    <row r="1092" spans="1:6" ht="13" x14ac:dyDescent="0.15">
      <c r="A1092" s="7"/>
      <c r="B1092" s="31"/>
      <c r="C1092" s="31"/>
      <c r="D1092" s="31"/>
      <c r="F1092" s="40"/>
    </row>
    <row r="1093" spans="1:6" ht="13" x14ac:dyDescent="0.15">
      <c r="A1093" s="7"/>
      <c r="B1093" s="31"/>
      <c r="C1093" s="31"/>
      <c r="D1093" s="31"/>
      <c r="F1093" s="40"/>
    </row>
    <row r="1094" spans="1:6" ht="13" x14ac:dyDescent="0.15">
      <c r="A1094" s="7"/>
      <c r="B1094" s="31"/>
      <c r="C1094" s="31"/>
      <c r="D1094" s="31"/>
      <c r="F1094" s="40"/>
    </row>
    <row r="1095" spans="1:6" ht="13" x14ac:dyDescent="0.15">
      <c r="A1095" s="7"/>
      <c r="B1095" s="31"/>
      <c r="C1095" s="31"/>
      <c r="D1095" s="31"/>
      <c r="F1095" s="40"/>
    </row>
    <row r="1096" spans="1:6" ht="13" x14ac:dyDescent="0.15">
      <c r="A1096" s="7"/>
      <c r="B1096" s="31"/>
      <c r="C1096" s="31"/>
      <c r="D1096" s="31"/>
      <c r="F1096" s="40"/>
    </row>
    <row r="1097" spans="1:6" ht="13" x14ac:dyDescent="0.15">
      <c r="A1097" s="7"/>
      <c r="B1097" s="31"/>
      <c r="C1097" s="31"/>
      <c r="D1097" s="31"/>
      <c r="F1097" s="40"/>
    </row>
    <row r="1098" spans="1:6" ht="13" x14ac:dyDescent="0.15">
      <c r="A1098" s="7"/>
      <c r="B1098" s="31"/>
      <c r="C1098" s="31"/>
      <c r="D1098" s="31"/>
      <c r="F1098" s="40"/>
    </row>
    <row r="1099" spans="1:6" ht="13" x14ac:dyDescent="0.15">
      <c r="A1099" s="7"/>
      <c r="B1099" s="31"/>
      <c r="C1099" s="31"/>
      <c r="D1099" s="31"/>
      <c r="F1099" s="40"/>
    </row>
    <row r="1100" spans="1:6" ht="13" x14ac:dyDescent="0.15">
      <c r="A1100" s="7"/>
      <c r="B1100" s="31"/>
      <c r="C1100" s="31"/>
      <c r="D1100" s="31"/>
      <c r="F1100" s="40"/>
    </row>
    <row r="1101" spans="1:6" ht="13" x14ac:dyDescent="0.15">
      <c r="A1101" s="7"/>
      <c r="B1101" s="31"/>
      <c r="C1101" s="31"/>
      <c r="D1101" s="31"/>
      <c r="F1101" s="40"/>
    </row>
    <row r="1102" spans="1:6" ht="13" x14ac:dyDescent="0.15">
      <c r="A1102" s="7"/>
      <c r="B1102" s="31"/>
      <c r="C1102" s="31"/>
      <c r="D1102" s="31"/>
      <c r="F1102" s="40"/>
    </row>
    <row r="1103" spans="1:6" ht="13" x14ac:dyDescent="0.15">
      <c r="A1103" s="7"/>
      <c r="B1103" s="31"/>
      <c r="C1103" s="31"/>
      <c r="D1103" s="31"/>
      <c r="F1103" s="40"/>
    </row>
    <row r="1104" spans="1:6" ht="13" x14ac:dyDescent="0.15">
      <c r="A1104" s="7"/>
      <c r="B1104" s="31"/>
      <c r="C1104" s="31"/>
      <c r="D1104" s="31"/>
      <c r="F1104" s="40"/>
    </row>
    <row r="1105" spans="1:6" ht="13" x14ac:dyDescent="0.15">
      <c r="A1105" s="7"/>
      <c r="B1105" s="31"/>
      <c r="C1105" s="31"/>
      <c r="D1105" s="31"/>
      <c r="F1105" s="40"/>
    </row>
    <row r="1106" spans="1:6" ht="13" x14ac:dyDescent="0.15">
      <c r="A1106" s="7"/>
      <c r="B1106" s="31"/>
      <c r="C1106" s="31"/>
      <c r="D1106" s="31"/>
      <c r="F1106" s="40"/>
    </row>
    <row r="1107" spans="1:6" ht="13" x14ac:dyDescent="0.15">
      <c r="A1107" s="7"/>
      <c r="B1107" s="31"/>
      <c r="C1107" s="31"/>
      <c r="D1107" s="31"/>
      <c r="F1107" s="40"/>
    </row>
    <row r="1108" spans="1:6" ht="13" x14ac:dyDescent="0.15">
      <c r="A1108" s="7"/>
      <c r="B1108" s="31"/>
      <c r="C1108" s="31"/>
      <c r="D1108" s="31"/>
      <c r="F1108" s="40"/>
    </row>
    <row r="1109" spans="1:6" ht="13" x14ac:dyDescent="0.15">
      <c r="A1109" s="7"/>
      <c r="B1109" s="31"/>
      <c r="C1109" s="31"/>
      <c r="D1109" s="31"/>
      <c r="F1109" s="40"/>
    </row>
    <row r="1110" spans="1:6" ht="13" x14ac:dyDescent="0.15">
      <c r="A1110" s="7"/>
      <c r="B1110" s="31"/>
      <c r="C1110" s="31"/>
      <c r="D1110" s="31"/>
      <c r="F1110" s="40"/>
    </row>
    <row r="1111" spans="1:6" ht="13" x14ac:dyDescent="0.15">
      <c r="A1111" s="7"/>
      <c r="B1111" s="31"/>
      <c r="C1111" s="31"/>
      <c r="D1111" s="31"/>
      <c r="F1111" s="40"/>
    </row>
    <row r="1112" spans="1:6" ht="13" x14ac:dyDescent="0.15">
      <c r="A1112" s="7"/>
      <c r="B1112" s="31"/>
      <c r="C1112" s="31"/>
      <c r="D1112" s="31"/>
      <c r="F1112" s="40"/>
    </row>
    <row r="1113" spans="1:6" ht="13" x14ac:dyDescent="0.15">
      <c r="A1113" s="7"/>
      <c r="B1113" s="31"/>
      <c r="C1113" s="31"/>
      <c r="D1113" s="31"/>
      <c r="F1113" s="40"/>
    </row>
    <row r="1114" spans="1:6" ht="13" x14ac:dyDescent="0.15">
      <c r="A1114" s="7"/>
      <c r="B1114" s="31"/>
      <c r="C1114" s="31"/>
      <c r="D1114" s="31"/>
      <c r="F1114" s="40"/>
    </row>
    <row r="1115" spans="1:6" ht="13" x14ac:dyDescent="0.15">
      <c r="A1115" s="7"/>
      <c r="B1115" s="31"/>
      <c r="C1115" s="31"/>
      <c r="D1115" s="31"/>
      <c r="F1115" s="40"/>
    </row>
    <row r="1116" spans="1:6" ht="13" x14ac:dyDescent="0.15">
      <c r="A1116" s="7"/>
      <c r="B1116" s="31"/>
      <c r="C1116" s="31"/>
      <c r="D1116" s="31"/>
      <c r="F1116" s="40"/>
    </row>
    <row r="1117" spans="1:6" ht="13" x14ac:dyDescent="0.15">
      <c r="A1117" s="7"/>
      <c r="B1117" s="31"/>
      <c r="C1117" s="31"/>
      <c r="D1117" s="31"/>
      <c r="F1117" s="40"/>
    </row>
    <row r="1118" spans="1:6" ht="13" x14ac:dyDescent="0.15">
      <c r="A1118" s="7"/>
      <c r="B1118" s="31"/>
      <c r="C1118" s="31"/>
      <c r="D1118" s="31"/>
      <c r="F1118" s="40"/>
    </row>
    <row r="1119" spans="1:6" ht="13" x14ac:dyDescent="0.15">
      <c r="A1119" s="7"/>
      <c r="B1119" s="31"/>
      <c r="C1119" s="31"/>
      <c r="D1119" s="31"/>
      <c r="F1119" s="40"/>
    </row>
    <row r="1120" spans="1:6" ht="13" x14ac:dyDescent="0.15">
      <c r="A1120" s="7"/>
      <c r="B1120" s="31"/>
      <c r="C1120" s="31"/>
      <c r="D1120" s="31"/>
      <c r="F1120" s="40"/>
    </row>
    <row r="1121" spans="1:6" ht="13" x14ac:dyDescent="0.15">
      <c r="A1121" s="7"/>
      <c r="B1121" s="31"/>
      <c r="C1121" s="31"/>
      <c r="D1121" s="31"/>
      <c r="F1121" s="40"/>
    </row>
    <row r="1122" spans="1:6" ht="13" x14ac:dyDescent="0.15">
      <c r="A1122" s="7"/>
      <c r="B1122" s="31"/>
      <c r="C1122" s="31"/>
      <c r="D1122" s="31"/>
      <c r="F1122" s="40"/>
    </row>
    <row r="1123" spans="1:6" ht="13" x14ac:dyDescent="0.15">
      <c r="A1123" s="7"/>
      <c r="B1123" s="31"/>
      <c r="C1123" s="31"/>
      <c r="D1123" s="31"/>
      <c r="F1123" s="40"/>
    </row>
    <row r="1124" spans="1:6" ht="13" x14ac:dyDescent="0.15">
      <c r="A1124" s="7"/>
      <c r="B1124" s="31"/>
      <c r="C1124" s="31"/>
      <c r="D1124" s="31"/>
      <c r="F1124" s="40"/>
    </row>
    <row r="1125" spans="1:6" ht="13" x14ac:dyDescent="0.15">
      <c r="A1125" s="7"/>
      <c r="B1125" s="31"/>
      <c r="C1125" s="31"/>
      <c r="D1125" s="31"/>
      <c r="F1125" s="40"/>
    </row>
    <row r="1126" spans="1:6" ht="13" x14ac:dyDescent="0.15">
      <c r="A1126" s="7"/>
      <c r="B1126" s="31"/>
      <c r="C1126" s="31"/>
      <c r="D1126" s="31"/>
      <c r="F1126" s="40"/>
    </row>
    <row r="1127" spans="1:6" ht="13" x14ac:dyDescent="0.15">
      <c r="A1127" s="7"/>
      <c r="B1127" s="31"/>
      <c r="C1127" s="31"/>
      <c r="D1127" s="31"/>
      <c r="F1127" s="40"/>
    </row>
    <row r="1128" spans="1:6" ht="13" x14ac:dyDescent="0.15">
      <c r="A1128" s="7"/>
      <c r="B1128" s="31"/>
      <c r="C1128" s="31"/>
      <c r="D1128" s="31"/>
      <c r="F1128" s="40"/>
    </row>
    <row r="1129" spans="1:6" ht="13" x14ac:dyDescent="0.15">
      <c r="A1129" s="7"/>
      <c r="B1129" s="31"/>
      <c r="C1129" s="31"/>
      <c r="D1129" s="31"/>
      <c r="F1129" s="40"/>
    </row>
    <row r="1130" spans="1:6" ht="13" x14ac:dyDescent="0.15">
      <c r="A1130" s="7"/>
      <c r="B1130" s="31"/>
      <c r="C1130" s="31"/>
      <c r="D1130" s="31"/>
      <c r="F1130" s="40"/>
    </row>
    <row r="1131" spans="1:6" ht="13" x14ac:dyDescent="0.15">
      <c r="A1131" s="7"/>
      <c r="B1131" s="31"/>
      <c r="C1131" s="31"/>
      <c r="D1131" s="31"/>
      <c r="F1131" s="40"/>
    </row>
    <row r="1132" spans="1:6" ht="13" x14ac:dyDescent="0.15">
      <c r="A1132" s="7"/>
      <c r="B1132" s="31"/>
      <c r="C1132" s="31"/>
      <c r="D1132" s="31"/>
      <c r="F1132" s="40"/>
    </row>
    <row r="1133" spans="1:6" ht="13" x14ac:dyDescent="0.15">
      <c r="A1133" s="7"/>
      <c r="B1133" s="31"/>
      <c r="C1133" s="31"/>
      <c r="D1133" s="31"/>
      <c r="F1133" s="40"/>
    </row>
    <row r="1134" spans="1:6" ht="13" x14ac:dyDescent="0.15">
      <c r="A1134" s="7"/>
      <c r="B1134" s="31"/>
      <c r="C1134" s="31"/>
      <c r="D1134" s="31"/>
      <c r="F1134" s="40"/>
    </row>
    <row r="1135" spans="1:6" ht="13" x14ac:dyDescent="0.15">
      <c r="A1135" s="7"/>
      <c r="B1135" s="31"/>
      <c r="C1135" s="31"/>
      <c r="D1135" s="31"/>
      <c r="F1135" s="40"/>
    </row>
    <row r="1136" spans="1:6" ht="13" x14ac:dyDescent="0.15">
      <c r="A1136" s="7"/>
      <c r="B1136" s="31"/>
      <c r="C1136" s="31"/>
      <c r="D1136" s="31"/>
      <c r="F1136" s="40"/>
    </row>
    <row r="1137" spans="1:6" ht="13" x14ac:dyDescent="0.15">
      <c r="A1137" s="7"/>
      <c r="B1137" s="31"/>
      <c r="C1137" s="31"/>
      <c r="D1137" s="31"/>
      <c r="F1137" s="40"/>
    </row>
    <row r="1138" spans="1:6" ht="13" x14ac:dyDescent="0.15">
      <c r="A1138" s="7"/>
      <c r="B1138" s="31"/>
      <c r="C1138" s="31"/>
      <c r="D1138" s="31"/>
      <c r="F1138" s="40"/>
    </row>
    <row r="1139" spans="1:6" ht="13" x14ac:dyDescent="0.15">
      <c r="A1139" s="7"/>
      <c r="B1139" s="31"/>
      <c r="C1139" s="31"/>
      <c r="D1139" s="31"/>
      <c r="F1139" s="40"/>
    </row>
    <row r="1140" spans="1:6" ht="13" x14ac:dyDescent="0.15">
      <c r="A1140" s="7"/>
      <c r="B1140" s="31"/>
      <c r="C1140" s="31"/>
      <c r="D1140" s="31"/>
      <c r="F1140" s="40"/>
    </row>
    <row r="1141" spans="1:6" ht="13" x14ac:dyDescent="0.15">
      <c r="A1141" s="7"/>
      <c r="B1141" s="31"/>
      <c r="C1141" s="31"/>
      <c r="D1141" s="31"/>
      <c r="F1141" s="40"/>
    </row>
    <row r="1142" spans="1:6" ht="13" x14ac:dyDescent="0.15">
      <c r="A1142" s="7"/>
      <c r="B1142" s="31"/>
      <c r="C1142" s="31"/>
      <c r="D1142" s="31"/>
      <c r="F1142" s="40"/>
    </row>
    <row r="1143" spans="1:6" ht="13" x14ac:dyDescent="0.15">
      <c r="A1143" s="7"/>
      <c r="B1143" s="31"/>
      <c r="C1143" s="31"/>
      <c r="D1143" s="31"/>
      <c r="F1143" s="40"/>
    </row>
    <row r="1144" spans="1:6" ht="13" x14ac:dyDescent="0.15">
      <c r="A1144" s="7"/>
      <c r="B1144" s="31"/>
      <c r="C1144" s="31"/>
      <c r="D1144" s="31"/>
      <c r="F1144" s="40"/>
    </row>
    <row r="1145" spans="1:6" ht="13" x14ac:dyDescent="0.15">
      <c r="A1145" s="7"/>
      <c r="B1145" s="31"/>
      <c r="C1145" s="31"/>
      <c r="D1145" s="31"/>
      <c r="F1145" s="40"/>
    </row>
    <row r="1146" spans="1:6" ht="13" x14ac:dyDescent="0.15">
      <c r="A1146" s="7"/>
      <c r="B1146" s="31"/>
      <c r="C1146" s="31"/>
      <c r="D1146" s="31"/>
      <c r="F1146" s="40"/>
    </row>
    <row r="1147" spans="1:6" ht="13" x14ac:dyDescent="0.15">
      <c r="A1147" s="7"/>
      <c r="B1147" s="31"/>
      <c r="C1147" s="31"/>
      <c r="D1147" s="31"/>
      <c r="F1147" s="40"/>
    </row>
    <row r="1148" spans="1:6" ht="13" x14ac:dyDescent="0.15">
      <c r="A1148" s="7"/>
      <c r="B1148" s="31"/>
      <c r="C1148" s="31"/>
      <c r="D1148" s="31"/>
      <c r="F1148" s="40"/>
    </row>
    <row r="1149" spans="1:6" ht="13" x14ac:dyDescent="0.15">
      <c r="A1149" s="7"/>
      <c r="B1149" s="31"/>
      <c r="C1149" s="31"/>
      <c r="D1149" s="31"/>
      <c r="F1149" s="40"/>
    </row>
    <row r="1150" spans="1:6" ht="13" x14ac:dyDescent="0.15">
      <c r="A1150" s="7"/>
      <c r="B1150" s="31"/>
      <c r="C1150" s="31"/>
      <c r="D1150" s="31"/>
      <c r="F1150" s="40"/>
    </row>
    <row r="1151" spans="1:6" ht="13" x14ac:dyDescent="0.15">
      <c r="A1151" s="7"/>
      <c r="B1151" s="31"/>
      <c r="C1151" s="31"/>
      <c r="D1151" s="31"/>
      <c r="F1151" s="40"/>
    </row>
    <row r="1152" spans="1:6" ht="13" x14ac:dyDescent="0.15">
      <c r="A1152" s="7"/>
      <c r="B1152" s="31"/>
      <c r="C1152" s="31"/>
      <c r="D1152" s="31"/>
      <c r="F1152" s="40"/>
    </row>
    <row r="1153" spans="1:6" ht="13" x14ac:dyDescent="0.15">
      <c r="A1153" s="7"/>
      <c r="B1153" s="31"/>
      <c r="C1153" s="31"/>
      <c r="D1153" s="31"/>
      <c r="F1153" s="40"/>
    </row>
    <row r="1154" spans="1:6" ht="13" x14ac:dyDescent="0.15">
      <c r="A1154" s="7"/>
      <c r="B1154" s="31"/>
      <c r="C1154" s="31"/>
      <c r="D1154" s="31"/>
      <c r="F1154" s="40"/>
    </row>
    <row r="1155" spans="1:6" ht="13" x14ac:dyDescent="0.15">
      <c r="A1155" s="7"/>
      <c r="B1155" s="31"/>
      <c r="C1155" s="31"/>
      <c r="D1155" s="31"/>
      <c r="F1155" s="40"/>
    </row>
    <row r="1156" spans="1:6" ht="13" x14ac:dyDescent="0.15">
      <c r="A1156" s="7"/>
      <c r="B1156" s="31"/>
      <c r="C1156" s="31"/>
      <c r="D1156" s="31"/>
      <c r="F1156" s="40"/>
    </row>
    <row r="1157" spans="1:6" ht="13" x14ac:dyDescent="0.15">
      <c r="A1157" s="7"/>
      <c r="B1157" s="31"/>
      <c r="C1157" s="31"/>
      <c r="D1157" s="31"/>
      <c r="F1157" s="40"/>
    </row>
    <row r="1158" spans="1:6" ht="13" x14ac:dyDescent="0.15">
      <c r="A1158" s="7"/>
      <c r="B1158" s="31"/>
      <c r="C1158" s="31"/>
      <c r="D1158" s="31"/>
      <c r="F1158" s="40"/>
    </row>
    <row r="1159" spans="1:6" ht="13" x14ac:dyDescent="0.15">
      <c r="A1159" s="7"/>
      <c r="B1159" s="31"/>
      <c r="C1159" s="31"/>
      <c r="D1159" s="31"/>
      <c r="F1159" s="40"/>
    </row>
    <row r="1160" spans="1:6" ht="13" x14ac:dyDescent="0.15">
      <c r="A1160" s="7"/>
      <c r="B1160" s="31"/>
      <c r="C1160" s="31"/>
      <c r="D1160" s="31"/>
      <c r="F1160" s="40"/>
    </row>
    <row r="1161" spans="1:6" ht="13" x14ac:dyDescent="0.15">
      <c r="A1161" s="7"/>
      <c r="B1161" s="31"/>
      <c r="C1161" s="31"/>
      <c r="D1161" s="31"/>
      <c r="F1161" s="40"/>
    </row>
    <row r="1162" spans="1:6" ht="13" x14ac:dyDescent="0.15">
      <c r="A1162" s="7"/>
      <c r="B1162" s="31"/>
      <c r="C1162" s="31"/>
      <c r="D1162" s="31"/>
      <c r="F1162" s="40"/>
    </row>
    <row r="1163" spans="1:6" ht="13" x14ac:dyDescent="0.15">
      <c r="A1163" s="7"/>
      <c r="B1163" s="31"/>
      <c r="C1163" s="31"/>
      <c r="D1163" s="31"/>
      <c r="F1163" s="40"/>
    </row>
    <row r="1164" spans="1:6" ht="13" x14ac:dyDescent="0.15">
      <c r="A1164" s="7"/>
      <c r="B1164" s="31"/>
      <c r="C1164" s="31"/>
      <c r="D1164" s="31"/>
      <c r="F1164" s="40"/>
    </row>
    <row r="1165" spans="1:6" ht="13" x14ac:dyDescent="0.15">
      <c r="A1165" s="7"/>
      <c r="B1165" s="31"/>
      <c r="C1165" s="31"/>
      <c r="D1165" s="31"/>
      <c r="F1165" s="40"/>
    </row>
    <row r="1166" spans="1:6" ht="13" x14ac:dyDescent="0.15">
      <c r="A1166" s="7"/>
      <c r="B1166" s="31"/>
      <c r="C1166" s="31"/>
      <c r="D1166" s="31"/>
      <c r="F1166" s="40"/>
    </row>
    <row r="1167" spans="1:6" ht="13" x14ac:dyDescent="0.15">
      <c r="A1167" s="7"/>
      <c r="B1167" s="31"/>
      <c r="C1167" s="31"/>
      <c r="D1167" s="31"/>
      <c r="F1167" s="40"/>
    </row>
    <row r="1168" spans="1:6" ht="13" x14ac:dyDescent="0.15">
      <c r="A1168" s="7"/>
      <c r="B1168" s="31"/>
      <c r="C1168" s="31"/>
      <c r="D1168" s="31"/>
      <c r="F1168" s="40"/>
    </row>
    <row r="1169" spans="1:6" ht="13" x14ac:dyDescent="0.15">
      <c r="A1169" s="7"/>
      <c r="B1169" s="31"/>
      <c r="C1169" s="31"/>
      <c r="D1169" s="31"/>
      <c r="F1169" s="40"/>
    </row>
    <row r="1170" spans="1:6" ht="13" x14ac:dyDescent="0.15">
      <c r="A1170" s="7"/>
      <c r="B1170" s="31"/>
      <c r="C1170" s="31"/>
      <c r="D1170" s="31"/>
      <c r="F1170" s="40"/>
    </row>
    <row r="1171" spans="1:6" ht="13" x14ac:dyDescent="0.15">
      <c r="A1171" s="7"/>
      <c r="B1171" s="31"/>
      <c r="C1171" s="31"/>
      <c r="D1171" s="31"/>
      <c r="F1171" s="40"/>
    </row>
    <row r="1172" spans="1:6" ht="13" x14ac:dyDescent="0.15">
      <c r="A1172" s="7"/>
      <c r="B1172" s="31"/>
      <c r="C1172" s="31"/>
      <c r="D1172" s="31"/>
      <c r="F1172" s="40"/>
    </row>
    <row r="1173" spans="1:6" ht="13" x14ac:dyDescent="0.15">
      <c r="A1173" s="7"/>
      <c r="B1173" s="31"/>
      <c r="C1173" s="31"/>
      <c r="D1173" s="31"/>
      <c r="F1173" s="40"/>
    </row>
    <row r="1174" spans="1:6" ht="13" x14ac:dyDescent="0.15">
      <c r="A1174" s="7"/>
      <c r="B1174" s="31"/>
      <c r="C1174" s="31"/>
      <c r="D1174" s="31"/>
      <c r="F1174" s="40"/>
    </row>
    <row r="1175" spans="1:6" ht="13" x14ac:dyDescent="0.15">
      <c r="A1175" s="7"/>
      <c r="B1175" s="31"/>
      <c r="C1175" s="31"/>
      <c r="D1175" s="31"/>
      <c r="F1175" s="40"/>
    </row>
    <row r="1176" spans="1:6" ht="13" x14ac:dyDescent="0.15">
      <c r="A1176" s="7"/>
      <c r="B1176" s="31"/>
      <c r="C1176" s="31"/>
      <c r="D1176" s="31"/>
      <c r="F1176" s="40"/>
    </row>
    <row r="1177" spans="1:6" ht="13" x14ac:dyDescent="0.15">
      <c r="A1177" s="7"/>
      <c r="B1177" s="31"/>
      <c r="C1177" s="31"/>
      <c r="D1177" s="31"/>
      <c r="F1177" s="40"/>
    </row>
    <row r="1178" spans="1:6" ht="13" x14ac:dyDescent="0.15">
      <c r="A1178" s="7"/>
      <c r="B1178" s="31"/>
      <c r="C1178" s="31"/>
      <c r="D1178" s="31"/>
      <c r="F1178" s="40"/>
    </row>
    <row r="1179" spans="1:6" ht="13" x14ac:dyDescent="0.15">
      <c r="A1179" s="7"/>
      <c r="B1179" s="31"/>
      <c r="C1179" s="31"/>
      <c r="D1179" s="31"/>
      <c r="F1179" s="40"/>
    </row>
    <row r="1180" spans="1:6" ht="13" x14ac:dyDescent="0.15">
      <c r="A1180" s="7"/>
      <c r="B1180" s="31"/>
      <c r="C1180" s="31"/>
      <c r="D1180" s="31"/>
      <c r="F1180" s="40"/>
    </row>
    <row r="1181" spans="1:6" ht="13" x14ac:dyDescent="0.15">
      <c r="A1181" s="7"/>
      <c r="B1181" s="31"/>
      <c r="C1181" s="31"/>
      <c r="D1181" s="31"/>
      <c r="F1181" s="40"/>
    </row>
    <row r="1182" spans="1:6" ht="13" x14ac:dyDescent="0.15">
      <c r="A1182" s="7"/>
      <c r="B1182" s="31"/>
      <c r="C1182" s="31"/>
      <c r="D1182" s="31"/>
      <c r="F1182" s="40"/>
    </row>
    <row r="1183" spans="1:6" ht="13" x14ac:dyDescent="0.15">
      <c r="A1183" s="7"/>
      <c r="B1183" s="31"/>
      <c r="C1183" s="31"/>
      <c r="D1183" s="31"/>
      <c r="F1183" s="40"/>
    </row>
    <row r="1184" spans="1:6" ht="13" x14ac:dyDescent="0.15">
      <c r="A1184" s="7"/>
      <c r="B1184" s="31"/>
      <c r="C1184" s="31"/>
      <c r="D1184" s="31"/>
      <c r="F1184" s="40"/>
    </row>
    <row r="1185" spans="1:6" ht="13" x14ac:dyDescent="0.15">
      <c r="A1185" s="7"/>
      <c r="B1185" s="31"/>
      <c r="C1185" s="31"/>
      <c r="D1185" s="31"/>
      <c r="F1185" s="40"/>
    </row>
    <row r="1186" spans="1:6" ht="13" x14ac:dyDescent="0.15">
      <c r="A1186" s="7"/>
      <c r="B1186" s="31"/>
      <c r="C1186" s="31"/>
      <c r="D1186" s="31"/>
      <c r="F1186" s="40"/>
    </row>
    <row r="1187" spans="1:6" ht="13" x14ac:dyDescent="0.15">
      <c r="A1187" s="7"/>
      <c r="B1187" s="31"/>
      <c r="C1187" s="31"/>
      <c r="D1187" s="31"/>
      <c r="F1187" s="40"/>
    </row>
    <row r="1188" spans="1:6" ht="13" x14ac:dyDescent="0.15">
      <c r="A1188" s="7"/>
      <c r="B1188" s="31"/>
      <c r="C1188" s="31"/>
      <c r="D1188" s="31"/>
      <c r="F1188" s="40"/>
    </row>
    <row r="1189" spans="1:6" ht="13" x14ac:dyDescent="0.15">
      <c r="A1189" s="7"/>
      <c r="B1189" s="31"/>
      <c r="C1189" s="31"/>
      <c r="D1189" s="31"/>
      <c r="F1189" s="40"/>
    </row>
    <row r="1190" spans="1:6" ht="13" x14ac:dyDescent="0.15">
      <c r="A1190" s="7"/>
      <c r="B1190" s="31"/>
      <c r="C1190" s="31"/>
      <c r="D1190" s="31"/>
      <c r="F1190" s="40"/>
    </row>
    <row r="1191" spans="1:6" ht="13" x14ac:dyDescent="0.15">
      <c r="A1191" s="7"/>
      <c r="B1191" s="31"/>
      <c r="C1191" s="31"/>
      <c r="D1191" s="31"/>
      <c r="F1191" s="40"/>
    </row>
    <row r="1192" spans="1:6" ht="13" x14ac:dyDescent="0.15">
      <c r="A1192" s="7"/>
      <c r="B1192" s="31"/>
      <c r="C1192" s="31"/>
      <c r="D1192" s="31"/>
      <c r="F1192" s="40"/>
    </row>
    <row r="1193" spans="1:6" ht="13" x14ac:dyDescent="0.15">
      <c r="A1193" s="7"/>
      <c r="B1193" s="31"/>
      <c r="C1193" s="31"/>
      <c r="D1193" s="31"/>
      <c r="F1193" s="40"/>
    </row>
    <row r="1194" spans="1:6" ht="13" x14ac:dyDescent="0.15">
      <c r="A1194" s="7"/>
      <c r="B1194" s="31"/>
      <c r="C1194" s="31"/>
      <c r="D1194" s="31"/>
      <c r="F1194" s="40"/>
    </row>
    <row r="1195" spans="1:6" ht="13" x14ac:dyDescent="0.15">
      <c r="A1195" s="7"/>
      <c r="B1195" s="31"/>
      <c r="C1195" s="31"/>
      <c r="D1195" s="31"/>
      <c r="F1195" s="40"/>
    </row>
    <row r="1196" spans="1:6" ht="13" x14ac:dyDescent="0.15">
      <c r="A1196" s="7"/>
      <c r="B1196" s="31"/>
      <c r="C1196" s="31"/>
      <c r="D1196" s="31"/>
      <c r="F1196" s="40"/>
    </row>
    <row r="1197" spans="1:6" ht="13" x14ac:dyDescent="0.15">
      <c r="A1197" s="7"/>
      <c r="B1197" s="31"/>
      <c r="C1197" s="31"/>
      <c r="D1197" s="31"/>
      <c r="F1197" s="40"/>
    </row>
    <row r="1198" spans="1:6" ht="13" x14ac:dyDescent="0.15">
      <c r="A1198" s="7"/>
      <c r="B1198" s="31"/>
      <c r="C1198" s="31"/>
      <c r="D1198" s="31"/>
      <c r="F1198" s="40"/>
    </row>
  </sheetData>
  <hyperlinks>
    <hyperlink ref="F1" r:id="rId1" xr:uid="{00000000-0004-0000-0300-000000000000}"/>
    <hyperlink ref="G1" r:id="rId2" xr:uid="{00000000-0004-0000-0300-000001000000}"/>
    <hyperlink ref="J1" r:id="rId3" xr:uid="{00000000-0004-0000-0300-000002000000}"/>
    <hyperlink ref="K1" r:id="rId4" xr:uid="{00000000-0004-0000-0300-000003000000}"/>
    <hyperlink ref="L1" r:id="rId5" xr:uid="{00000000-0004-0000-03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</vt:lpstr>
      <vt:lpstr>Natural Gas</vt:lpstr>
      <vt:lpstr>Water</vt:lpstr>
      <vt:lpstr>Carbon Dioxide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Endy</cp:lastModifiedBy>
  <dcterms:created xsi:type="dcterms:W3CDTF">2025-03-19T13:22:36Z</dcterms:created>
  <dcterms:modified xsi:type="dcterms:W3CDTF">2025-04-04T13:23:02Z</dcterms:modified>
</cp:coreProperties>
</file>